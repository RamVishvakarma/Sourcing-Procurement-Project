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Suppliers" sheetId="2" state="visible" r:id="rId4"/>
    <sheet name="Requisitions" sheetId="3" state="visible" r:id="rId5"/>
    <sheet name="Quote_Comparison" sheetId="4" state="visible" r:id="rId6"/>
    <sheet name="Purchase_Orders" sheetId="5" state="visible" r:id="rId7"/>
    <sheet name="Summar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<sst xmlns="http://schemas.openxmlformats.org/spreadsheetml/2006/main" count="246" uniqueCount="172">
  <si>
    <t xml:space="preserve">Beginner Project: Sourcing &amp; Procurement Cycle</t>
  </si>
  <si>
    <t xml:space="preserve">A small, end-to-end example using synthetic data (15 suppliers, 15 requisitions, 1 RFQ, 12 purchase orders).</t>
  </si>
  <si>
    <t xml:space="preserve">Step</t>
  </si>
  <si>
    <t xml:space="preserve">What happens in real life</t>
  </si>
  <si>
    <t xml:space="preserve">Sheet</t>
  </si>
  <si>
    <t xml:space="preserve">Excel skill used</t>
  </si>
  <si>
    <t xml:space="preserve">1. Find &amp; qualify suppliers</t>
  </si>
  <si>
    <t xml:space="preserve">Rate suppliers on quality, delivery and price; approve only good ones</t>
  </si>
  <si>
    <t xml:space="preserve">Suppliers</t>
  </si>
  <si>
    <t xml:space="preserve">Weighted score, IF, conditional formatting</t>
  </si>
  <si>
    <t xml:space="preserve">2. Receive &amp; check requisitions</t>
  </si>
  <si>
    <t xml:space="preserve">Employees request items. Check the spec is complete; decide whether to raise a PO or run an RFQ</t>
  </si>
  <si>
    <t xml:space="preserve">Requisitions</t>
  </si>
  <si>
    <t xml:space="preserve">IF, threshold rule, drop-downs</t>
  </si>
  <si>
    <t xml:space="preserve">3. Source: request &amp; compare quotes</t>
  </si>
  <si>
    <t xml:space="preserve">Ask several suppliers to quote, exclude non-compliant bids, score the rest and pick the best value</t>
  </si>
  <si>
    <t xml:space="preserve">Quote_Comparison</t>
  </si>
  <si>
    <t xml:space="preserve">INDEX/MATCH, MIN, RANK</t>
  </si>
  <si>
    <t xml:space="preserve">4. Order &amp; track delivery</t>
  </si>
  <si>
    <t xml:space="preserve">Raise POs, track promised vs actual delivery, flag late or overdue orders</t>
  </si>
  <si>
    <t xml:space="preserve">Purchase_Orders</t>
  </si>
  <si>
    <t xml:space="preserve">Date maths, IF, lookups</t>
  </si>
  <si>
    <t xml:space="preserve">5. Analyse results</t>
  </si>
  <si>
    <t xml:space="preserve">Measure spend, savings and supplier on-time performance</t>
  </si>
  <si>
    <t xml:space="preserve">Summary</t>
  </si>
  <si>
    <t xml:space="preserve">SUMIFS, COUNTIFS, charts</t>
  </si>
  <si>
    <t xml:space="preserve">Key ideas</t>
  </si>
  <si>
    <t xml:space="preserve">- Sourcing = finding and choosing suppliers. Procurement = the full buying cycle: need &gt; supplier &gt; quote &gt; PO &gt; delivery &gt; payment.</t>
  </si>
  <si>
    <t xml:space="preserve">- The cheapest quote is not always the best: quality, delivery time, warranty and supplier track record matter too.</t>
  </si>
  <si>
    <t xml:space="preserve">- A requisition with a missing spec must go back to the requester before any buying starts.</t>
  </si>
  <si>
    <t xml:space="preserve">- Spend and on-time delivery are tracked so weak suppliers can be improved or replaced.</t>
  </si>
  <si>
    <t xml:space="preserve">- Blue text = inputs you can change; black = formulas; green = formulas pulling from other sheets. Yellow cells = key settings.</t>
  </si>
  <si>
    <t xml:space="preserve">Step 1 - Supplier evaluation (find &amp; qualify suppliers)</t>
  </si>
  <si>
    <t xml:space="preserve">Each supplier is rated 1-10 on quality, delivery and price. Score = weighted average x 10 (so it is out of 100). 80+ = Preferred, 65-79 = Approved, below 65 = Not approved.</t>
  </si>
  <si>
    <t xml:space="preserve">Score weights (edit me)</t>
  </si>
  <si>
    <t xml:space="preserve">Quality</t>
  </si>
  <si>
    <t xml:space="preserve">Delivery</t>
  </si>
  <si>
    <t xml:space="preserve">Price</t>
  </si>
  <si>
    <t xml:space="preserve">Total</t>
  </si>
  <si>
    <t xml:space="preserve">Vendor ID</t>
  </si>
  <si>
    <t xml:space="preserve">Supplier Name</t>
  </si>
  <si>
    <t xml:space="preserve">Category</t>
  </si>
  <si>
    <t xml:space="preserve">City</t>
  </si>
  <si>
    <t xml:space="preserve">Payment Days</t>
  </si>
  <si>
    <t xml:space="preserve">Quality (1-10)</t>
  </si>
  <si>
    <t xml:space="preserve">Delivery (1-10)</t>
  </si>
  <si>
    <t xml:space="preserve">Price (1-10)</t>
  </si>
  <si>
    <t xml:space="preserve">Weighted Score</t>
  </si>
  <si>
    <t xml:space="preserve">Rating</t>
  </si>
  <si>
    <t xml:space="preserve">Deskcraft Interiors</t>
  </si>
  <si>
    <t xml:space="preserve">Office Furniture</t>
  </si>
  <si>
    <t xml:space="preserve">Pune</t>
  </si>
  <si>
    <t xml:space="preserve">Ergoform Furniture Co.</t>
  </si>
  <si>
    <t xml:space="preserve">Mumbai</t>
  </si>
  <si>
    <t xml:space="preserve">Sitwell Seating</t>
  </si>
  <si>
    <t xml:space="preserve">Thane</t>
  </si>
  <si>
    <t xml:space="preserve">Woodline Workspaces</t>
  </si>
  <si>
    <t xml:space="preserve">Nashik</t>
  </si>
  <si>
    <t xml:space="preserve">Comfort Office Systems</t>
  </si>
  <si>
    <t xml:space="preserve">Nexora Systems</t>
  </si>
  <si>
    <t xml:space="preserve">IT Hardware</t>
  </si>
  <si>
    <t xml:space="preserve">Bytewave Technologies</t>
  </si>
  <si>
    <t xml:space="preserve">Bengaluru</t>
  </si>
  <si>
    <t xml:space="preserve">Corelink Infotech</t>
  </si>
  <si>
    <t xml:space="preserve">Pixelgrid Electronics</t>
  </si>
  <si>
    <t xml:space="preserve">Delhi</t>
  </si>
  <si>
    <t xml:space="preserve">Silicon Harbor Computers</t>
  </si>
  <si>
    <t xml:space="preserve">Chennai</t>
  </si>
  <si>
    <t xml:space="preserve">Paperlane Stationers</t>
  </si>
  <si>
    <t xml:space="preserve">Stationery &amp; Supplies</t>
  </si>
  <si>
    <t xml:space="preserve">Officemart India</t>
  </si>
  <si>
    <t xml:space="preserve">Stylus Supplies</t>
  </si>
  <si>
    <t xml:space="preserve">Inkwell Traders</t>
  </si>
  <si>
    <t xml:space="preserve">Navi Mumbai</t>
  </si>
  <si>
    <t xml:space="preserve">Clipart Office Needs</t>
  </si>
  <si>
    <t xml:space="preserve">Step 2 - Purchase requisitions (identify the need &amp; check the request)</t>
  </si>
  <si>
    <t xml:space="preserve">Quote threshold (INR)</t>
  </si>
  <si>
    <t xml:space="preserve">Rule: if the spec is missing, send the PR back to the requester. Otherwise, if the value is at or above the threshold, get 3 quotes (RFQ); below it, raise a PO directly.</t>
  </si>
  <si>
    <t xml:space="preserve">PR No</t>
  </si>
  <si>
    <t xml:space="preserve">PR Date</t>
  </si>
  <si>
    <t xml:space="preserve">Department</t>
  </si>
  <si>
    <t xml:space="preserve">Item</t>
  </si>
  <si>
    <t xml:space="preserve">Qty</t>
  </si>
  <si>
    <t xml:space="preserve">Est. Unit Price (INR)</t>
  </si>
  <si>
    <t xml:space="preserve">Est. Value (INR)</t>
  </si>
  <si>
    <t xml:space="preserve">Spec Complete? (Y/N)</t>
  </si>
  <si>
    <t xml:space="preserve">Next Action</t>
  </si>
  <si>
    <t xml:space="preserve">Finance</t>
  </si>
  <si>
    <t xml:space="preserve">Printer toner cartridges</t>
  </si>
  <si>
    <t xml:space="preserve">Y</t>
  </si>
  <si>
    <t xml:space="preserve">IT</t>
  </si>
  <si>
    <t xml:space="preserve">Laptop docking stations</t>
  </si>
  <si>
    <t xml:space="preserve">Admin</t>
  </si>
  <si>
    <t xml:space="preserve">Executive desks</t>
  </si>
  <si>
    <t xml:space="preserve">HR</t>
  </si>
  <si>
    <t xml:space="preserve">Ergonomic chairs - 100 units</t>
  </si>
  <si>
    <t xml:space="preserve">24-inch monitors</t>
  </si>
  <si>
    <t xml:space="preserve">A4 paper cartons</t>
  </si>
  <si>
    <t xml:space="preserve">Marketing</t>
  </si>
  <si>
    <t xml:space="preserve">Roll-up banners</t>
  </si>
  <si>
    <t xml:space="preserve">N</t>
  </si>
  <si>
    <t xml:space="preserve">Network switches</t>
  </si>
  <si>
    <t xml:space="preserve">Whiteboards</t>
  </si>
  <si>
    <t xml:space="preserve">Operations</t>
  </si>
  <si>
    <t xml:space="preserve">Visitor chairs</t>
  </si>
  <si>
    <t xml:space="preserve">Servers (rack) - new data room</t>
  </si>
  <si>
    <t xml:space="preserve">Wireless keyboard &amp; mouse</t>
  </si>
  <si>
    <t xml:space="preserve">Sticky notes &amp; pens</t>
  </si>
  <si>
    <t xml:space="preserve">UPS 1 kVA</t>
  </si>
  <si>
    <t xml:space="preserve">Laptops for new joiners</t>
  </si>
  <si>
    <t xml:space="preserve">Step 3 - Sourcing: compare supplier quotes (PR 1004 - Ergonomic chairs)</t>
  </si>
  <si>
    <t xml:space="preserve">Ergonomic office chairs</t>
  </si>
  <si>
    <t xml:space="preserve">Evaluation weights</t>
  </si>
  <si>
    <t xml:space="preserve">How it works: suppliers that do not meet the spec are excluded. Price and delivery scores = best (lowest) value / this supplier's value x 100. Overall = weighted mix of price, delivery and the supplier's own score from the Suppliers sheet. Highest overall score wins - not just the cheapest price!</t>
  </si>
  <si>
    <t xml:space="preserve">Quantity</t>
  </si>
  <si>
    <t xml:space="preserve">Budget unit price (INR)</t>
  </si>
  <si>
    <t xml:space="preserve">Supplier score</t>
  </si>
  <si>
    <t xml:space="preserve">Supplier</t>
  </si>
  <si>
    <t xml:space="preserve">Quoted Unit Price (INR)</t>
  </si>
  <si>
    <t xml:space="preserve">Delivery (days)</t>
  </si>
  <si>
    <t xml:space="preserve">Warranty (yrs)</t>
  </si>
  <si>
    <t xml:space="preserve">Meets Spec? (Y/N)</t>
  </si>
  <si>
    <t xml:space="preserve">Price (if compliant)</t>
  </si>
  <si>
    <t xml:space="preserve">Delivery (if compliant)</t>
  </si>
  <si>
    <t xml:space="preserve">Price Score</t>
  </si>
  <si>
    <t xml:space="preserve">Delivery Score</t>
  </si>
  <si>
    <t xml:space="preserve">Supplier Score</t>
  </si>
  <si>
    <t xml:space="preserve">Overall Score</t>
  </si>
  <si>
    <t xml:space="preserve">Rank</t>
  </si>
  <si>
    <t xml:space="preserve">Result</t>
  </si>
  <si>
    <t xml:space="preserve">Recommended supplier</t>
  </si>
  <si>
    <t xml:space="preserve">Lesson: the cheapest bid was excluded because it did not meet the spec. The winner is the best overall value, not the lowest price.</t>
  </si>
  <si>
    <t xml:space="preserve">Winning quoted price (INR)</t>
  </si>
  <si>
    <t xml:space="preserve">Lowest compliant price (INR)</t>
  </si>
  <si>
    <t xml:space="preserve">Cheapest overall bid (INR, incl. non-compliant)</t>
  </si>
  <si>
    <t xml:space="preserve">Budget value (INR)</t>
  </si>
  <si>
    <t xml:space="preserve">Order value at winning price (INR)</t>
  </si>
  <si>
    <t xml:space="preserve">Saving vs budget (INR)</t>
  </si>
  <si>
    <t xml:space="preserve">Saving vs budget %</t>
  </si>
  <si>
    <t xml:space="preserve">Step 4 - Purchase orders &amp; delivery tracking</t>
  </si>
  <si>
    <t xml:space="preserve">Today's date</t>
  </si>
  <si>
    <t xml:space="preserve">Leave 'Actual Delivery' blank if goods have not arrived. Status = Open (not yet due), Overdue (past promised date, not received), On time or Late.</t>
  </si>
  <si>
    <t xml:space="preserve">PO No</t>
  </si>
  <si>
    <t xml:space="preserve">Unit Price (INR)</t>
  </si>
  <si>
    <t xml:space="preserve">PO Value (INR)</t>
  </si>
  <si>
    <t xml:space="preserve">PO Date</t>
  </si>
  <si>
    <t xml:space="preserve">Promised Delivery</t>
  </si>
  <si>
    <t xml:space="preserve">Actual Delivery</t>
  </si>
  <si>
    <t xml:space="preserve">Delay (days)</t>
  </si>
  <si>
    <t xml:space="preserve">Status</t>
  </si>
  <si>
    <t xml:space="preserve">Ergonomic chairs</t>
  </si>
  <si>
    <t xml:space="preserve">Step 5 - Results: spend &amp; supplier performance</t>
  </si>
  <si>
    <t xml:space="preserve">Metric</t>
  </si>
  <si>
    <t xml:space="preserve">Value</t>
  </si>
  <si>
    <t xml:space="preserve">Suppliers evaluated</t>
  </si>
  <si>
    <t xml:space="preserve">Preferred suppliers</t>
  </si>
  <si>
    <t xml:space="preserve">Purchase requisitions received</t>
  </si>
  <si>
    <t xml:space="preserve">PRs sent back (spec missing)</t>
  </si>
  <si>
    <t xml:space="preserve">PRs needing an RFQ</t>
  </si>
  <si>
    <t xml:space="preserve">Purchase orders raised</t>
  </si>
  <si>
    <t xml:space="preserve">Total PO value (INR)</t>
  </si>
  <si>
    <t xml:space="preserve">On-time delivery %</t>
  </si>
  <si>
    <t xml:space="preserve">Overdue POs</t>
  </si>
  <si>
    <t xml:space="preserve">Saving from chair RFQ (INR)</t>
  </si>
  <si>
    <t xml:space="preserve">Saving from chair RFQ %</t>
  </si>
  <si>
    <t xml:space="preserve">Spend by category</t>
  </si>
  <si>
    <t xml:space="preserve">Share %</t>
  </si>
  <si>
    <t xml:space="preserve">On-time delivery by supplier</t>
  </si>
  <si>
    <t xml:space="preserve">POs</t>
  </si>
  <si>
    <t xml:space="preserve">On time</t>
  </si>
  <si>
    <t xml:space="preserve">Late</t>
  </si>
  <si>
    <t xml:space="preserve">Overdue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</si>
</sst>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%"/>
    <numFmt numFmtId="166" formatCode="0.0"/>
    <numFmt numFmtId="167" formatCode="#,##0"/>
    <numFmt numFmtId="168" formatCode="dd\-mmm\-yyyy"/>
    <numFmt numFmtId="169" formatCode="#,##0;\(#,##0\);\-"/>
    <numFmt numFmtId="170" formatCode="0.0%"/>
    <numFmt numFmtId="171" formatCode="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00000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4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E699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C6E0B4"/>
        </patternFill>
      </fill>
    </dxf>
    <dxf>
      <fill>
        <patternFill>
          <bgColor rgb="FFFFE699"/>
        </patternFill>
      </fill>
    </dxf>
    <dxf>
      <fill>
        <patternFill>
          <bgColor rgb="FFF8CBA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Overall evaluation score by supplier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Quote_Comparison!M8</c:f>
              <c:strCache>
                <c:ptCount val="1"/>
                <c:pt idx="0">
                  <c:v>Overall Score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Quote_Comparison!$B$9:$B$13</c:f>
              <c:strCache>
                <c:ptCount val="5"/>
                <c:pt idx="0">
                  <c:v>Deskcraft Interiors</c:v>
                </c:pt>
                <c:pt idx="1">
                  <c:v>Ergoform Furniture Co.</c:v>
                </c:pt>
                <c:pt idx="2">
                  <c:v>Sitwell Seating</c:v>
                </c:pt>
                <c:pt idx="3">
                  <c:v>Woodline Workspaces</c:v>
                </c:pt>
                <c:pt idx="4">
                  <c:v>Comfort Office Systems</c:v>
                </c:pt>
              </c:strCache>
            </c:strRef>
          </c:cat>
          <c:val>
            <c:numRef>
              <c:f>Quote_Comparison!$M$9:$M$13</c:f>
              <c:numCache>
                <c:formatCode>0.0</c:formatCode>
                <c:ptCount val="5"/>
                <c:pt idx="0">
                  <c:v>82.8040650406504</c:v>
                </c:pt>
                <c:pt idx="1">
                  <c:v>84.3</c:v>
                </c:pt>
                <c:pt idx="2">
                  <c:v>86.7863636363636</c:v>
                </c:pt>
                <c:pt idx="3">
                  <c:v>82.3793650793651</c:v>
                </c:pt>
                <c:pt idx="4">
                  <c:v>18.6</c:v>
                </c:pt>
              </c:numCache>
            </c:numRef>
          </c:val>
        </c:ser>
        <c:gapWidth val="150"/>
        <c:overlap val="0"/>
        <c:axId val="8000158"/>
        <c:axId val="68830892"/>
      </c:barChart>
      <c:catAx>
        <c:axId val="800015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830892"/>
        <c:crosses val="autoZero"/>
        <c:auto val="1"/>
        <c:lblAlgn val="ctr"/>
        <c:lblOffset val="100"/>
        <c:noMultiLvlLbl val="0"/>
      </c:catAx>
      <c:valAx>
        <c:axId val="6883089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0015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PO value by category (INR)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Summary!B18</c:f>
              <c:strCache>
                <c:ptCount val="1"/>
                <c:pt idx="0">
                  <c:v>PO Value (INR)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Summary!$A$19:$A$21</c:f>
              <c:strCache>
                <c:ptCount val="3"/>
                <c:pt idx="0">
                  <c:v>Office Furniture</c:v>
                </c:pt>
                <c:pt idx="1">
                  <c:v>IT Hardware</c:v>
                </c:pt>
                <c:pt idx="2">
                  <c:v>Stationery &amp; Supplies</c:v>
                </c:pt>
              </c:strCache>
            </c:strRef>
          </c:cat>
          <c:val>
            <c:numRef>
              <c:f>Summary!$B$19:$B$21</c:f>
              <c:numCache>
                <c:formatCode>#,##0;\(#,##0\);\-</c:formatCode>
                <c:ptCount val="3"/>
                <c:pt idx="0">
                  <c:v>467000</c:v>
                </c:pt>
                <c:pt idx="1">
                  <c:v>472500</c:v>
                </c:pt>
                <c:pt idx="2">
                  <c:v>126600</c:v>
                </c:pt>
              </c:numCache>
            </c:numRef>
          </c:val>
        </c:ser>
        <c:gapWidth val="150"/>
        <c:overlap val="0"/>
        <c:axId val="52301666"/>
        <c:axId val="89989126"/>
      </c:barChart>
      <c:catAx>
        <c:axId val="5230166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989126"/>
        <c:crosses val="autoZero"/>
        <c:auto val="1"/>
        <c:lblAlgn val="ctr"/>
        <c:lblOffset val="100"/>
        <c:noMultiLvlLbl val="0"/>
      </c:catAx>
      <c:valAx>
        <c:axId val="8998912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30166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16</xdr:row>
      <xdr:rowOff>160560</xdr:rowOff>
    </xdr:from>
    <xdr:to>
      <xdr:col>9</xdr:col>
      <xdr:colOff>473400</xdr:colOff>
      <xdr:row>31</xdr:row>
      <xdr:rowOff>2880</xdr:rowOff>
    </xdr:to>
    <xdr:graphicFrame>
      <xdr:nvGraphicFramePr>
        <xdr:cNvPr id="0" name="Chart 1"/>
        <xdr:cNvGraphicFramePr/>
      </xdr:nvGraphicFramePr>
      <xdr:xfrm>
        <a:off x="5920920" y="344808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160560</xdr:rowOff>
    </xdr:from>
    <xdr:to>
      <xdr:col>14</xdr:col>
      <xdr:colOff>147600</xdr:colOff>
      <xdr:row>14</xdr:row>
      <xdr:rowOff>174240</xdr:rowOff>
    </xdr:to>
    <xdr:graphicFrame>
      <xdr:nvGraphicFramePr>
        <xdr:cNvPr id="1" name="Chart 1"/>
        <xdr:cNvGraphicFramePr/>
      </xdr:nvGraphicFramePr>
      <xdr:xfrm>
        <a:off x="6602760" y="380880"/>
        <a:ext cx="50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60"/>
    <col collapsed="false" customWidth="true" hidden="false" outlineLevel="0" max="3" min="3" style="0" width="20"/>
    <col collapsed="false" customWidth="true" hidden="false" outlineLevel="0" max="4" min="4" style="0" width="38"/>
  </cols>
  <sheetData>
    <row r="1" customFormat="false" ht="22.0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43.5" hidden="false" customHeight="true" outlineLevel="0" collapsed="false">
      <c r="A5" s="4" t="s">
        <v>6</v>
      </c>
      <c r="B5" s="4" t="s">
        <v>7</v>
      </c>
      <c r="C5" s="4" t="s">
        <v>8</v>
      </c>
      <c r="D5" s="4" t="s">
        <v>9</v>
      </c>
    </row>
    <row r="6" customFormat="false" ht="43.5" hidden="false" customHeight="true" outlineLevel="0" collapsed="false">
      <c r="A6" s="4" t="s">
        <v>10</v>
      </c>
      <c r="B6" s="4" t="s">
        <v>11</v>
      </c>
      <c r="C6" s="4" t="s">
        <v>12</v>
      </c>
      <c r="D6" s="4" t="s">
        <v>13</v>
      </c>
    </row>
    <row r="7" customFormat="false" ht="43.5" hidden="false" customHeight="true" outlineLevel="0" collapsed="false">
      <c r="A7" s="4" t="s">
        <v>14</v>
      </c>
      <c r="B7" s="4" t="s">
        <v>15</v>
      </c>
      <c r="C7" s="4" t="s">
        <v>16</v>
      </c>
      <c r="D7" s="4" t="s">
        <v>17</v>
      </c>
    </row>
    <row r="8" customFormat="false" ht="43.5" hidden="false" customHeight="true" outlineLevel="0" collapsed="false">
      <c r="A8" s="4" t="s">
        <v>18</v>
      </c>
      <c r="B8" s="4" t="s">
        <v>19</v>
      </c>
      <c r="C8" s="4" t="s">
        <v>20</v>
      </c>
      <c r="D8" s="4" t="s">
        <v>21</v>
      </c>
    </row>
    <row r="9" customFormat="false" ht="43.5" hidden="false" customHeight="true" outlineLevel="0" collapsed="false">
      <c r="A9" s="4" t="s">
        <v>22</v>
      </c>
      <c r="B9" s="4" t="s">
        <v>23</v>
      </c>
      <c r="C9" s="4" t="s">
        <v>24</v>
      </c>
      <c r="D9" s="4" t="s">
        <v>25</v>
      </c>
    </row>
    <row r="11" customFormat="false" ht="15" hidden="false" customHeight="false" outlineLevel="0" collapsed="false">
      <c r="A11" s="5" t="s">
        <v>26</v>
      </c>
    </row>
    <row r="12" customFormat="false" ht="30" hidden="false" customHeight="true" outlineLevel="0" collapsed="false">
      <c r="A12" s="6" t="s">
        <v>27</v>
      </c>
      <c r="B12" s="6"/>
      <c r="C12" s="6"/>
      <c r="D12" s="6"/>
    </row>
    <row r="13" customFormat="false" ht="30" hidden="false" customHeight="true" outlineLevel="0" collapsed="false">
      <c r="A13" s="6" t="s">
        <v>28</v>
      </c>
      <c r="B13" s="6"/>
      <c r="C13" s="6"/>
      <c r="D13" s="6"/>
    </row>
    <row r="14" customFormat="false" ht="30" hidden="false" customHeight="true" outlineLevel="0" collapsed="false">
      <c r="A14" s="6" t="s">
        <v>29</v>
      </c>
      <c r="B14" s="6"/>
      <c r="C14" s="6"/>
      <c r="D14" s="6"/>
    </row>
    <row r="15" customFormat="false" ht="30" hidden="false" customHeight="true" outlineLevel="0" collapsed="false">
      <c r="A15" s="6" t="s">
        <v>30</v>
      </c>
      <c r="B15" s="6"/>
      <c r="C15" s="6"/>
      <c r="D15" s="6"/>
    </row>
    <row r="16" customFormat="false" ht="30" hidden="false" customHeight="true" outlineLevel="0" collapsed="false">
      <c r="A16" s="6" t="s">
        <v>31</v>
      </c>
      <c r="B16" s="6"/>
      <c r="C16" s="6"/>
      <c r="D16" s="6"/>
    </row>
  </sheetData>
  <mergeCells count="5">
    <mergeCell ref="A12:D12"/>
    <mergeCell ref="A13:D13"/>
    <mergeCell ref="A14:D14"/>
    <mergeCell ref="A15:D15"/>
    <mergeCell ref="A16:D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24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11"/>
    <col collapsed="false" customWidth="true" hidden="false" outlineLevel="0" max="9" min="9" style="0" width="14"/>
    <col collapsed="false" customWidth="true" hidden="false" outlineLevel="0" max="10" min="10" style="0" width="15"/>
  </cols>
  <sheetData>
    <row r="1" customFormat="false" ht="17.35" hidden="false" customHeight="false" outlineLevel="0" collapsed="false">
      <c r="A1" s="7" t="s">
        <v>32</v>
      </c>
    </row>
    <row r="2" customFormat="false" ht="15" hidden="false" customHeight="true" outlineLevel="0" collapsed="false">
      <c r="A2" s="8" t="s">
        <v>33</v>
      </c>
      <c r="B2" s="8"/>
      <c r="C2" s="8"/>
      <c r="D2" s="8"/>
      <c r="F2" s="9" t="s">
        <v>34</v>
      </c>
    </row>
    <row r="3" customFormat="false" ht="15" hidden="false" customHeight="false" outlineLevel="0" collapsed="false">
      <c r="A3" s="8"/>
      <c r="B3" s="8"/>
      <c r="C3" s="8"/>
      <c r="D3" s="8"/>
      <c r="F3" s="10" t="s">
        <v>35</v>
      </c>
      <c r="G3" s="11" t="n">
        <v>0.4</v>
      </c>
    </row>
    <row r="4" customFormat="false" ht="15" hidden="false" customHeight="false" outlineLevel="0" collapsed="false">
      <c r="A4" s="8"/>
      <c r="B4" s="8"/>
      <c r="C4" s="8"/>
      <c r="D4" s="8"/>
      <c r="F4" s="10" t="s">
        <v>36</v>
      </c>
      <c r="G4" s="11" t="n">
        <v>0.3</v>
      </c>
    </row>
    <row r="5" customFormat="false" ht="15" hidden="false" customHeight="false" outlineLevel="0" collapsed="false">
      <c r="A5" s="8"/>
      <c r="B5" s="8"/>
      <c r="C5" s="8"/>
      <c r="D5" s="8"/>
      <c r="F5" s="10" t="s">
        <v>37</v>
      </c>
      <c r="G5" s="11" t="n">
        <v>0.3</v>
      </c>
    </row>
    <row r="6" customFormat="false" ht="15" hidden="false" customHeight="false" outlineLevel="0" collapsed="false">
      <c r="F6" s="9" t="s">
        <v>38</v>
      </c>
      <c r="G6" s="12" t="n">
        <f aca="false">SUM(G3:G5)</f>
        <v>1</v>
      </c>
    </row>
    <row r="8" customFormat="false" ht="31.5" hidden="false" customHeight="true" outlineLevel="0" collapsed="false">
      <c r="A8" s="3" t="s">
        <v>39</v>
      </c>
      <c r="B8" s="3" t="s">
        <v>40</v>
      </c>
      <c r="C8" s="3" t="s">
        <v>41</v>
      </c>
      <c r="D8" s="3" t="s">
        <v>42</v>
      </c>
      <c r="E8" s="3" t="s">
        <v>43</v>
      </c>
      <c r="F8" s="3" t="s">
        <v>44</v>
      </c>
      <c r="G8" s="3" t="s">
        <v>45</v>
      </c>
      <c r="H8" s="3" t="s">
        <v>46</v>
      </c>
      <c r="I8" s="3" t="s">
        <v>47</v>
      </c>
      <c r="J8" s="3" t="s">
        <v>48</v>
      </c>
    </row>
    <row r="9" customFormat="false" ht="15" hidden="false" customHeight="false" outlineLevel="0" collapsed="false">
      <c r="A9" s="13" t="n">
        <v>101</v>
      </c>
      <c r="B9" s="13" t="s">
        <v>49</v>
      </c>
      <c r="C9" s="13" t="s">
        <v>50</v>
      </c>
      <c r="D9" s="13" t="s">
        <v>51</v>
      </c>
      <c r="E9" s="14" t="n">
        <v>45</v>
      </c>
      <c r="F9" s="14" t="n">
        <v>8</v>
      </c>
      <c r="G9" s="14" t="n">
        <v>7</v>
      </c>
      <c r="H9" s="14" t="n">
        <v>6</v>
      </c>
      <c r="I9" s="15" t="n">
        <f aca="false">(F9*$G$3+G9*$G$4+H9*$G$5)*10</f>
        <v>71</v>
      </c>
      <c r="J9" s="13" t="str">
        <f aca="false">IF(I9&gt;=80,"Preferred",IF(I9&gt;=65,"Approved","Not approved"))</f>
        <v>Approved</v>
      </c>
    </row>
    <row r="10" customFormat="false" ht="15" hidden="false" customHeight="false" outlineLevel="0" collapsed="false">
      <c r="A10" s="13" t="n">
        <v>102</v>
      </c>
      <c r="B10" s="13" t="s">
        <v>52</v>
      </c>
      <c r="C10" s="13" t="s">
        <v>50</v>
      </c>
      <c r="D10" s="13" t="s">
        <v>53</v>
      </c>
      <c r="E10" s="14" t="n">
        <v>30</v>
      </c>
      <c r="F10" s="14" t="n">
        <v>9</v>
      </c>
      <c r="G10" s="14" t="n">
        <v>8</v>
      </c>
      <c r="H10" s="14" t="n">
        <v>7</v>
      </c>
      <c r="I10" s="15" t="n">
        <f aca="false">(F10*$G$3+G10*$G$4+H10*$G$5)*10</f>
        <v>81</v>
      </c>
      <c r="J10" s="13" t="str">
        <f aca="false">IF(I10&gt;=80,"Preferred",IF(I10&gt;=65,"Approved","Not approved"))</f>
        <v>Preferred</v>
      </c>
    </row>
    <row r="11" customFormat="false" ht="15" hidden="false" customHeight="false" outlineLevel="0" collapsed="false">
      <c r="A11" s="13" t="n">
        <v>103</v>
      </c>
      <c r="B11" s="13" t="s">
        <v>54</v>
      </c>
      <c r="C11" s="13" t="s">
        <v>50</v>
      </c>
      <c r="D11" s="13" t="s">
        <v>55</v>
      </c>
      <c r="E11" s="14" t="n">
        <v>60</v>
      </c>
      <c r="F11" s="14" t="n">
        <v>7</v>
      </c>
      <c r="G11" s="14" t="n">
        <v>9</v>
      </c>
      <c r="H11" s="14" t="n">
        <v>6</v>
      </c>
      <c r="I11" s="15" t="n">
        <f aca="false">(F11*$G$3+G11*$G$4+H11*$G$5)*10</f>
        <v>73</v>
      </c>
      <c r="J11" s="13" t="str">
        <f aca="false">IF(I11&gt;=80,"Preferred",IF(I11&gt;=65,"Approved","Not approved"))</f>
        <v>Approved</v>
      </c>
    </row>
    <row r="12" customFormat="false" ht="15" hidden="false" customHeight="false" outlineLevel="0" collapsed="false">
      <c r="A12" s="13" t="n">
        <v>104</v>
      </c>
      <c r="B12" s="13" t="s">
        <v>56</v>
      </c>
      <c r="C12" s="13" t="s">
        <v>50</v>
      </c>
      <c r="D12" s="13" t="s">
        <v>57</v>
      </c>
      <c r="E12" s="14" t="n">
        <v>30</v>
      </c>
      <c r="F12" s="14" t="n">
        <v>6</v>
      </c>
      <c r="G12" s="14" t="n">
        <v>6</v>
      </c>
      <c r="H12" s="14" t="n">
        <v>8</v>
      </c>
      <c r="I12" s="15" t="n">
        <f aca="false">(F12*$G$3+G12*$G$4+H12*$G$5)*10</f>
        <v>66</v>
      </c>
      <c r="J12" s="13" t="str">
        <f aca="false">IF(I12&gt;=80,"Preferred",IF(I12&gt;=65,"Approved","Not approved"))</f>
        <v>Approved</v>
      </c>
    </row>
    <row r="13" customFormat="false" ht="15" hidden="false" customHeight="false" outlineLevel="0" collapsed="false">
      <c r="A13" s="13" t="n">
        <v>105</v>
      </c>
      <c r="B13" s="13" t="s">
        <v>58</v>
      </c>
      <c r="C13" s="13" t="s">
        <v>50</v>
      </c>
      <c r="D13" s="13" t="s">
        <v>51</v>
      </c>
      <c r="E13" s="14" t="n">
        <v>30</v>
      </c>
      <c r="F13" s="14" t="n">
        <v>5</v>
      </c>
      <c r="G13" s="14" t="n">
        <v>5</v>
      </c>
      <c r="H13" s="14" t="n">
        <v>9</v>
      </c>
      <c r="I13" s="15" t="n">
        <f aca="false">(F13*$G$3+G13*$G$4+H13*$G$5)*10</f>
        <v>62</v>
      </c>
      <c r="J13" s="13" t="str">
        <f aca="false">IF(I13&gt;=80,"Preferred",IF(I13&gt;=65,"Approved","Not approved"))</f>
        <v>Not approved</v>
      </c>
    </row>
    <row r="14" customFormat="false" ht="15" hidden="false" customHeight="false" outlineLevel="0" collapsed="false">
      <c r="A14" s="13" t="n">
        <v>201</v>
      </c>
      <c r="B14" s="13" t="s">
        <v>59</v>
      </c>
      <c r="C14" s="13" t="s">
        <v>60</v>
      </c>
      <c r="D14" s="13" t="s">
        <v>53</v>
      </c>
      <c r="E14" s="14" t="n">
        <v>45</v>
      </c>
      <c r="F14" s="14" t="n">
        <v>9</v>
      </c>
      <c r="G14" s="14" t="n">
        <v>9</v>
      </c>
      <c r="H14" s="14" t="n">
        <v>6</v>
      </c>
      <c r="I14" s="15" t="n">
        <f aca="false">(F14*$G$3+G14*$G$4+H14*$G$5)*10</f>
        <v>81</v>
      </c>
      <c r="J14" s="13" t="str">
        <f aca="false">IF(I14&gt;=80,"Preferred",IF(I14&gt;=65,"Approved","Not approved"))</f>
        <v>Preferred</v>
      </c>
    </row>
    <row r="15" customFormat="false" ht="15" hidden="false" customHeight="false" outlineLevel="0" collapsed="false">
      <c r="A15" s="13" t="n">
        <v>202</v>
      </c>
      <c r="B15" s="13" t="s">
        <v>61</v>
      </c>
      <c r="C15" s="13" t="s">
        <v>60</v>
      </c>
      <c r="D15" s="13" t="s">
        <v>62</v>
      </c>
      <c r="E15" s="14" t="n">
        <v>30</v>
      </c>
      <c r="F15" s="14" t="n">
        <v>8</v>
      </c>
      <c r="G15" s="14" t="n">
        <v>7</v>
      </c>
      <c r="H15" s="14" t="n">
        <v>7</v>
      </c>
      <c r="I15" s="15" t="n">
        <f aca="false">(F15*$G$3+G15*$G$4+H15*$G$5)*10</f>
        <v>74</v>
      </c>
      <c r="J15" s="13" t="str">
        <f aca="false">IF(I15&gt;=80,"Preferred",IF(I15&gt;=65,"Approved","Not approved"))</f>
        <v>Approved</v>
      </c>
    </row>
    <row r="16" customFormat="false" ht="15" hidden="false" customHeight="false" outlineLevel="0" collapsed="false">
      <c r="A16" s="13" t="n">
        <v>203</v>
      </c>
      <c r="B16" s="13" t="s">
        <v>63</v>
      </c>
      <c r="C16" s="13" t="s">
        <v>60</v>
      </c>
      <c r="D16" s="13" t="s">
        <v>51</v>
      </c>
      <c r="E16" s="14" t="n">
        <v>45</v>
      </c>
      <c r="F16" s="14" t="n">
        <v>7</v>
      </c>
      <c r="G16" s="14" t="n">
        <v>8</v>
      </c>
      <c r="H16" s="14" t="n">
        <v>7</v>
      </c>
      <c r="I16" s="15" t="n">
        <f aca="false">(F16*$G$3+G16*$G$4+H16*$G$5)*10</f>
        <v>73</v>
      </c>
      <c r="J16" s="13" t="str">
        <f aca="false">IF(I16&gt;=80,"Preferred",IF(I16&gt;=65,"Approved","Not approved"))</f>
        <v>Approved</v>
      </c>
    </row>
    <row r="17" customFormat="false" ht="15" hidden="false" customHeight="false" outlineLevel="0" collapsed="false">
      <c r="A17" s="13" t="n">
        <v>204</v>
      </c>
      <c r="B17" s="13" t="s">
        <v>64</v>
      </c>
      <c r="C17" s="13" t="s">
        <v>60</v>
      </c>
      <c r="D17" s="13" t="s">
        <v>65</v>
      </c>
      <c r="E17" s="14" t="n">
        <v>30</v>
      </c>
      <c r="F17" s="14" t="n">
        <v>6</v>
      </c>
      <c r="G17" s="14" t="n">
        <v>5</v>
      </c>
      <c r="H17" s="14" t="n">
        <v>9</v>
      </c>
      <c r="I17" s="15" t="n">
        <f aca="false">(F17*$G$3+G17*$G$4+H17*$G$5)*10</f>
        <v>66</v>
      </c>
      <c r="J17" s="13" t="str">
        <f aca="false">IF(I17&gt;=80,"Preferred",IF(I17&gt;=65,"Approved","Not approved"))</f>
        <v>Approved</v>
      </c>
    </row>
    <row r="18" customFormat="false" ht="15" hidden="false" customHeight="false" outlineLevel="0" collapsed="false">
      <c r="A18" s="13" t="n">
        <v>205</v>
      </c>
      <c r="B18" s="13" t="s">
        <v>66</v>
      </c>
      <c r="C18" s="13" t="s">
        <v>60</v>
      </c>
      <c r="D18" s="13" t="s">
        <v>67</v>
      </c>
      <c r="E18" s="14" t="n">
        <v>60</v>
      </c>
      <c r="F18" s="14" t="n">
        <v>5</v>
      </c>
      <c r="G18" s="14" t="n">
        <v>6</v>
      </c>
      <c r="H18" s="14" t="n">
        <v>8</v>
      </c>
      <c r="I18" s="15" t="n">
        <f aca="false">(F18*$G$3+G18*$G$4+H18*$G$5)*10</f>
        <v>62</v>
      </c>
      <c r="J18" s="13" t="str">
        <f aca="false">IF(I18&gt;=80,"Preferred",IF(I18&gt;=65,"Approved","Not approved"))</f>
        <v>Not approved</v>
      </c>
    </row>
    <row r="19" customFormat="false" ht="15" hidden="false" customHeight="false" outlineLevel="0" collapsed="false">
      <c r="A19" s="13" t="n">
        <v>301</v>
      </c>
      <c r="B19" s="13" t="s">
        <v>68</v>
      </c>
      <c r="C19" s="13" t="s">
        <v>69</v>
      </c>
      <c r="D19" s="13" t="s">
        <v>53</v>
      </c>
      <c r="E19" s="14" t="n">
        <v>30</v>
      </c>
      <c r="F19" s="14" t="n">
        <v>9</v>
      </c>
      <c r="G19" s="14" t="n">
        <v>9</v>
      </c>
      <c r="H19" s="14" t="n">
        <v>7</v>
      </c>
      <c r="I19" s="15" t="n">
        <f aca="false">(F19*$G$3+G19*$G$4+H19*$G$5)*10</f>
        <v>84</v>
      </c>
      <c r="J19" s="13" t="str">
        <f aca="false">IF(I19&gt;=80,"Preferred",IF(I19&gt;=65,"Approved","Not approved"))</f>
        <v>Preferred</v>
      </c>
    </row>
    <row r="20" customFormat="false" ht="15" hidden="false" customHeight="false" outlineLevel="0" collapsed="false">
      <c r="A20" s="13" t="n">
        <v>302</v>
      </c>
      <c r="B20" s="13" t="s">
        <v>70</v>
      </c>
      <c r="C20" s="13" t="s">
        <v>69</v>
      </c>
      <c r="D20" s="13" t="s">
        <v>51</v>
      </c>
      <c r="E20" s="14" t="n">
        <v>45</v>
      </c>
      <c r="F20" s="14" t="n">
        <v>8</v>
      </c>
      <c r="G20" s="14" t="n">
        <v>7</v>
      </c>
      <c r="H20" s="14" t="n">
        <v>8</v>
      </c>
      <c r="I20" s="15" t="n">
        <f aca="false">(F20*$G$3+G20*$G$4+H20*$G$5)*10</f>
        <v>77</v>
      </c>
      <c r="J20" s="13" t="str">
        <f aca="false">IF(I20&gt;=80,"Preferred",IF(I20&gt;=65,"Approved","Not approved"))</f>
        <v>Approved</v>
      </c>
    </row>
    <row r="21" customFormat="false" ht="15" hidden="false" customHeight="false" outlineLevel="0" collapsed="false">
      <c r="A21" s="13" t="n">
        <v>303</v>
      </c>
      <c r="B21" s="13" t="s">
        <v>71</v>
      </c>
      <c r="C21" s="13" t="s">
        <v>69</v>
      </c>
      <c r="D21" s="13" t="s">
        <v>55</v>
      </c>
      <c r="E21" s="14" t="n">
        <v>30</v>
      </c>
      <c r="F21" s="14" t="n">
        <v>7</v>
      </c>
      <c r="G21" s="14" t="n">
        <v>8</v>
      </c>
      <c r="H21" s="14" t="n">
        <v>6</v>
      </c>
      <c r="I21" s="15" t="n">
        <f aca="false">(F21*$G$3+G21*$G$4+H21*$G$5)*10</f>
        <v>70</v>
      </c>
      <c r="J21" s="13" t="str">
        <f aca="false">IF(I21&gt;=80,"Preferred",IF(I21&gt;=65,"Approved","Not approved"))</f>
        <v>Approved</v>
      </c>
    </row>
    <row r="22" customFormat="false" ht="15" hidden="false" customHeight="false" outlineLevel="0" collapsed="false">
      <c r="A22" s="13" t="n">
        <v>304</v>
      </c>
      <c r="B22" s="13" t="s">
        <v>72</v>
      </c>
      <c r="C22" s="13" t="s">
        <v>69</v>
      </c>
      <c r="D22" s="13" t="s">
        <v>73</v>
      </c>
      <c r="E22" s="14" t="n">
        <v>30</v>
      </c>
      <c r="F22" s="14" t="n">
        <v>5</v>
      </c>
      <c r="G22" s="14" t="n">
        <v>6</v>
      </c>
      <c r="H22" s="14" t="n">
        <v>9</v>
      </c>
      <c r="I22" s="15" t="n">
        <f aca="false">(F22*$G$3+G22*$G$4+H22*$G$5)*10</f>
        <v>65</v>
      </c>
      <c r="J22" s="13" t="str">
        <f aca="false">IF(I22&gt;=80,"Preferred",IF(I22&gt;=65,"Approved","Not approved"))</f>
        <v>Approved</v>
      </c>
    </row>
    <row r="23" customFormat="false" ht="15" hidden="false" customHeight="false" outlineLevel="0" collapsed="false">
      <c r="A23" s="13" t="n">
        <v>305</v>
      </c>
      <c r="B23" s="13" t="s">
        <v>74</v>
      </c>
      <c r="C23" s="13" t="s">
        <v>69</v>
      </c>
      <c r="D23" s="13" t="s">
        <v>57</v>
      </c>
      <c r="E23" s="14" t="n">
        <v>15</v>
      </c>
      <c r="F23" s="14" t="n">
        <v>4</v>
      </c>
      <c r="G23" s="14" t="n">
        <v>5</v>
      </c>
      <c r="H23" s="14" t="n">
        <v>8</v>
      </c>
      <c r="I23" s="15" t="n">
        <f aca="false">(F23*$G$3+G23*$G$4+H23*$G$5)*10</f>
        <v>55</v>
      </c>
      <c r="J23" s="13" t="str">
        <f aca="false">IF(I23&gt;=80,"Preferred",IF(I23&gt;=65,"Approved","Not approved"))</f>
        <v>Not approved</v>
      </c>
    </row>
  </sheetData>
  <mergeCells count="1">
    <mergeCell ref="A2:D5"/>
  </mergeCells>
  <conditionalFormatting sqref="J9:J23">
    <cfRule type="expression" priority="2" aboveAverage="0" equalAverage="0" bottom="0" percent="0" rank="0" text="" dxfId="0">
      <formula>$J9="Preferred"</formula>
    </cfRule>
    <cfRule type="expression" priority="3" aboveAverage="0" equalAverage="0" bottom="0" percent="0" rank="0" text="" dxfId="1">
      <formula>$J9="Approved"</formula>
    </cfRule>
    <cfRule type="expression" priority="4" aboveAverage="0" equalAverage="0" bottom="0" percent="0" rank="0" text="" dxfId="2">
      <formula>$J9="Not approved"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3" min="2" style="0" width="13"/>
    <col collapsed="false" customWidth="true" hidden="false" outlineLevel="0" max="4" min="4" style="0" width="34"/>
    <col collapsed="false" customWidth="true" hidden="false" outlineLevel="0" max="5" min="5" style="0" width="8"/>
    <col collapsed="false" customWidth="true" hidden="false" outlineLevel="0" max="6" min="6" style="0" width="14"/>
    <col collapsed="false" customWidth="true" hidden="false" outlineLevel="0" max="7" min="7" style="0" width="15"/>
    <col collapsed="false" customWidth="true" hidden="false" outlineLevel="0" max="8" min="8" style="0" width="14"/>
    <col collapsed="false" customWidth="true" hidden="false" outlineLevel="0" max="9" min="9" style="0" width="26"/>
  </cols>
  <sheetData>
    <row r="1" customFormat="false" ht="17.35" hidden="false" customHeight="false" outlineLevel="0" collapsed="false">
      <c r="A1" s="7" t="s">
        <v>75</v>
      </c>
    </row>
    <row r="2" customFormat="false" ht="15" hidden="false" customHeight="true" outlineLevel="0" collapsed="false">
      <c r="A2" s="9" t="s">
        <v>76</v>
      </c>
      <c r="B2" s="16" t="n">
        <v>100000</v>
      </c>
      <c r="D2" s="8" t="s">
        <v>77</v>
      </c>
      <c r="E2" s="8"/>
      <c r="F2" s="8"/>
      <c r="G2" s="8"/>
      <c r="H2" s="8"/>
    </row>
    <row r="3" customFormat="false" ht="15" hidden="false" customHeight="false" outlineLevel="0" collapsed="false">
      <c r="D3" s="8"/>
      <c r="E3" s="8"/>
      <c r="F3" s="8"/>
      <c r="G3" s="8"/>
      <c r="H3" s="8"/>
    </row>
    <row r="5" customFormat="false" ht="31.5" hidden="false" customHeight="true" outlineLevel="0" collapsed="false">
      <c r="A5" s="3" t="s">
        <v>78</v>
      </c>
      <c r="B5" s="3" t="s">
        <v>79</v>
      </c>
      <c r="C5" s="3" t="s">
        <v>80</v>
      </c>
      <c r="D5" s="3" t="s">
        <v>81</v>
      </c>
      <c r="E5" s="3" t="s">
        <v>82</v>
      </c>
      <c r="F5" s="3" t="s">
        <v>83</v>
      </c>
      <c r="G5" s="3" t="s">
        <v>84</v>
      </c>
      <c r="H5" s="3" t="s">
        <v>85</v>
      </c>
      <c r="I5" s="3" t="s">
        <v>86</v>
      </c>
    </row>
    <row r="6" customFormat="false" ht="15" hidden="false" customHeight="false" outlineLevel="0" collapsed="false">
      <c r="A6" s="13" t="n">
        <v>1001</v>
      </c>
      <c r="B6" s="17" t="n">
        <v>46266</v>
      </c>
      <c r="C6" s="13" t="s">
        <v>87</v>
      </c>
      <c r="D6" s="13" t="s">
        <v>88</v>
      </c>
      <c r="E6" s="18" t="n">
        <v>10</v>
      </c>
      <c r="F6" s="18" t="n">
        <v>4200</v>
      </c>
      <c r="G6" s="19" t="n">
        <f aca="false">E6*F6</f>
        <v>42000</v>
      </c>
      <c r="H6" s="14" t="s">
        <v>89</v>
      </c>
      <c r="I6" s="13" t="str">
        <f aca="false">IF(H6="N","Send back - spec missing",IF(G6&gt;=$B$2,"Needs RFQ (3 quotes)","Raise PO directly"))</f>
        <v>Raise PO directly</v>
      </c>
    </row>
    <row r="7" customFormat="false" ht="15" hidden="false" customHeight="false" outlineLevel="0" collapsed="false">
      <c r="A7" s="13" t="n">
        <v>1002</v>
      </c>
      <c r="B7" s="17" t="n">
        <v>46268</v>
      </c>
      <c r="C7" s="13" t="s">
        <v>90</v>
      </c>
      <c r="D7" s="13" t="s">
        <v>91</v>
      </c>
      <c r="E7" s="18" t="n">
        <v>15</v>
      </c>
      <c r="F7" s="18" t="n">
        <v>7800</v>
      </c>
      <c r="G7" s="19" t="n">
        <f aca="false">E7*F7</f>
        <v>117000</v>
      </c>
      <c r="H7" s="14" t="s">
        <v>89</v>
      </c>
      <c r="I7" s="13" t="str">
        <f aca="false">IF(H7="N","Send back - spec missing",IF(G7&gt;=$B$2,"Needs RFQ (3 quotes)","Raise PO directly"))</f>
        <v>Needs RFQ (3 quotes)</v>
      </c>
    </row>
    <row r="8" customFormat="false" ht="15" hidden="false" customHeight="false" outlineLevel="0" collapsed="false">
      <c r="A8" s="13" t="n">
        <v>1003</v>
      </c>
      <c r="B8" s="17" t="n">
        <v>46270</v>
      </c>
      <c r="C8" s="13" t="s">
        <v>92</v>
      </c>
      <c r="D8" s="13" t="s">
        <v>93</v>
      </c>
      <c r="E8" s="18" t="n">
        <v>10</v>
      </c>
      <c r="F8" s="18" t="n">
        <v>14500</v>
      </c>
      <c r="G8" s="19" t="n">
        <f aca="false">E8*F8</f>
        <v>145000</v>
      </c>
      <c r="H8" s="14" t="s">
        <v>89</v>
      </c>
      <c r="I8" s="13" t="str">
        <f aca="false">IF(H8="N","Send back - spec missing",IF(G8&gt;=$B$2,"Needs RFQ (3 quotes)","Raise PO directly"))</f>
        <v>Needs RFQ (3 quotes)</v>
      </c>
    </row>
    <row r="9" customFormat="false" ht="15" hidden="false" customHeight="false" outlineLevel="0" collapsed="false">
      <c r="A9" s="13" t="n">
        <v>1004</v>
      </c>
      <c r="B9" s="17" t="n">
        <v>46272</v>
      </c>
      <c r="C9" s="13" t="s">
        <v>94</v>
      </c>
      <c r="D9" s="13" t="s">
        <v>95</v>
      </c>
      <c r="E9" s="18" t="n">
        <v>100</v>
      </c>
      <c r="F9" s="18" t="n">
        <v>9000</v>
      </c>
      <c r="G9" s="19" t="n">
        <f aca="false">E9*F9</f>
        <v>900000</v>
      </c>
      <c r="H9" s="14" t="s">
        <v>89</v>
      </c>
      <c r="I9" s="13" t="str">
        <f aca="false">IF(H9="N","Send back - spec missing",IF(G9&gt;=$B$2,"Needs RFQ (3 quotes)","Raise PO directly"))</f>
        <v>Needs RFQ (3 quotes)</v>
      </c>
    </row>
    <row r="10" customFormat="false" ht="15" hidden="false" customHeight="false" outlineLevel="0" collapsed="false">
      <c r="A10" s="13" t="n">
        <v>1005</v>
      </c>
      <c r="B10" s="17" t="n">
        <v>46274</v>
      </c>
      <c r="C10" s="13" t="s">
        <v>90</v>
      </c>
      <c r="D10" s="13" t="s">
        <v>96</v>
      </c>
      <c r="E10" s="18" t="n">
        <v>12</v>
      </c>
      <c r="F10" s="18" t="n">
        <v>12500</v>
      </c>
      <c r="G10" s="19" t="n">
        <f aca="false">E10*F10</f>
        <v>150000</v>
      </c>
      <c r="H10" s="14" t="s">
        <v>89</v>
      </c>
      <c r="I10" s="13" t="str">
        <f aca="false">IF(H10="N","Send back - spec missing",IF(G10&gt;=$B$2,"Needs RFQ (3 quotes)","Raise PO directly"))</f>
        <v>Needs RFQ (3 quotes)</v>
      </c>
    </row>
    <row r="11" customFormat="false" ht="15" hidden="false" customHeight="false" outlineLevel="0" collapsed="false">
      <c r="A11" s="13" t="n">
        <v>1006</v>
      </c>
      <c r="B11" s="17" t="n">
        <v>46276</v>
      </c>
      <c r="C11" s="13" t="s">
        <v>92</v>
      </c>
      <c r="D11" s="13" t="s">
        <v>97</v>
      </c>
      <c r="E11" s="18" t="n">
        <v>40</v>
      </c>
      <c r="F11" s="18" t="n">
        <v>1350</v>
      </c>
      <c r="G11" s="19" t="n">
        <f aca="false">E11*F11</f>
        <v>54000</v>
      </c>
      <c r="H11" s="14" t="s">
        <v>89</v>
      </c>
      <c r="I11" s="13" t="str">
        <f aca="false">IF(H11="N","Send back - spec missing",IF(G11&gt;=$B$2,"Needs RFQ (3 quotes)","Raise PO directly"))</f>
        <v>Raise PO directly</v>
      </c>
    </row>
    <row r="12" customFormat="false" ht="15" hidden="false" customHeight="false" outlineLevel="0" collapsed="false">
      <c r="A12" s="13" t="n">
        <v>1007</v>
      </c>
      <c r="B12" s="17" t="n">
        <v>46278</v>
      </c>
      <c r="C12" s="13" t="s">
        <v>98</v>
      </c>
      <c r="D12" s="13" t="s">
        <v>99</v>
      </c>
      <c r="E12" s="18" t="n">
        <v>8</v>
      </c>
      <c r="F12" s="18" t="n">
        <v>2500</v>
      </c>
      <c r="G12" s="19" t="n">
        <f aca="false">E12*F12</f>
        <v>20000</v>
      </c>
      <c r="H12" s="14" t="s">
        <v>100</v>
      </c>
      <c r="I12" s="13" t="str">
        <f aca="false">IF(H12="N","Send back - spec missing",IF(G12&gt;=$B$2,"Needs RFQ (3 quotes)","Raise PO directly"))</f>
        <v>Send back - spec missing</v>
      </c>
    </row>
    <row r="13" customFormat="false" ht="15" hidden="false" customHeight="false" outlineLevel="0" collapsed="false">
      <c r="A13" s="13" t="n">
        <v>1008</v>
      </c>
      <c r="B13" s="17" t="n">
        <v>46280</v>
      </c>
      <c r="C13" s="13" t="s">
        <v>90</v>
      </c>
      <c r="D13" s="13" t="s">
        <v>101</v>
      </c>
      <c r="E13" s="18" t="n">
        <v>2</v>
      </c>
      <c r="F13" s="18" t="n">
        <v>38000</v>
      </c>
      <c r="G13" s="19" t="n">
        <f aca="false">E13*F13</f>
        <v>76000</v>
      </c>
      <c r="H13" s="14" t="s">
        <v>89</v>
      </c>
      <c r="I13" s="13" t="str">
        <f aca="false">IF(H13="N","Send back - spec missing",IF(G13&gt;=$B$2,"Needs RFQ (3 quotes)","Raise PO directly"))</f>
        <v>Raise PO directly</v>
      </c>
    </row>
    <row r="14" customFormat="false" ht="15" hidden="false" customHeight="false" outlineLevel="0" collapsed="false">
      <c r="A14" s="13" t="n">
        <v>1009</v>
      </c>
      <c r="B14" s="17" t="n">
        <v>46282</v>
      </c>
      <c r="C14" s="13" t="s">
        <v>92</v>
      </c>
      <c r="D14" s="13" t="s">
        <v>102</v>
      </c>
      <c r="E14" s="18" t="n">
        <v>6</v>
      </c>
      <c r="F14" s="18" t="n">
        <v>3100</v>
      </c>
      <c r="G14" s="19" t="n">
        <f aca="false">E14*F14</f>
        <v>18600</v>
      </c>
      <c r="H14" s="14" t="s">
        <v>89</v>
      </c>
      <c r="I14" s="13" t="str">
        <f aca="false">IF(H14="N","Send back - spec missing",IF(G14&gt;=$B$2,"Needs RFQ (3 quotes)","Raise PO directly"))</f>
        <v>Raise PO directly</v>
      </c>
    </row>
    <row r="15" customFormat="false" ht="15" hidden="false" customHeight="false" outlineLevel="0" collapsed="false">
      <c r="A15" s="13" t="n">
        <v>1010</v>
      </c>
      <c r="B15" s="17" t="n">
        <v>46284</v>
      </c>
      <c r="C15" s="13" t="s">
        <v>103</v>
      </c>
      <c r="D15" s="13" t="s">
        <v>104</v>
      </c>
      <c r="E15" s="18" t="n">
        <v>30</v>
      </c>
      <c r="F15" s="18" t="n">
        <v>5200</v>
      </c>
      <c r="G15" s="19" t="n">
        <f aca="false">E15*F15</f>
        <v>156000</v>
      </c>
      <c r="H15" s="14" t="s">
        <v>89</v>
      </c>
      <c r="I15" s="13" t="str">
        <f aca="false">IF(H15="N","Send back - spec missing",IF(G15&gt;=$B$2,"Needs RFQ (3 quotes)","Raise PO directly"))</f>
        <v>Needs RFQ (3 quotes)</v>
      </c>
    </row>
    <row r="16" customFormat="false" ht="15" hidden="false" customHeight="false" outlineLevel="0" collapsed="false">
      <c r="A16" s="13" t="n">
        <v>1011</v>
      </c>
      <c r="B16" s="17" t="n">
        <v>46286</v>
      </c>
      <c r="C16" s="13" t="s">
        <v>90</v>
      </c>
      <c r="D16" s="13" t="s">
        <v>105</v>
      </c>
      <c r="E16" s="18" t="n">
        <v>4</v>
      </c>
      <c r="F16" s="18" t="n">
        <v>185000</v>
      </c>
      <c r="G16" s="19" t="n">
        <f aca="false">E16*F16</f>
        <v>740000</v>
      </c>
      <c r="H16" s="14" t="s">
        <v>100</v>
      </c>
      <c r="I16" s="13" t="str">
        <f aca="false">IF(H16="N","Send back - spec missing",IF(G16&gt;=$B$2,"Needs RFQ (3 quotes)","Raise PO directly"))</f>
        <v>Send back - spec missing</v>
      </c>
    </row>
    <row r="17" customFormat="false" ht="15" hidden="false" customHeight="false" outlineLevel="0" collapsed="false">
      <c r="A17" s="13" t="n">
        <v>1012</v>
      </c>
      <c r="B17" s="17" t="n">
        <v>46288</v>
      </c>
      <c r="C17" s="13" t="s">
        <v>90</v>
      </c>
      <c r="D17" s="13" t="s">
        <v>106</v>
      </c>
      <c r="E17" s="18" t="n">
        <v>40</v>
      </c>
      <c r="F17" s="18" t="n">
        <v>1800</v>
      </c>
      <c r="G17" s="19" t="n">
        <f aca="false">E17*F17</f>
        <v>72000</v>
      </c>
      <c r="H17" s="14" t="s">
        <v>89</v>
      </c>
      <c r="I17" s="13" t="str">
        <f aca="false">IF(H17="N","Send back - spec missing",IF(G17&gt;=$B$2,"Needs RFQ (3 quotes)","Raise PO directly"))</f>
        <v>Raise PO directly</v>
      </c>
    </row>
    <row r="18" customFormat="false" ht="15" hidden="false" customHeight="false" outlineLevel="0" collapsed="false">
      <c r="A18" s="13" t="n">
        <v>1013</v>
      </c>
      <c r="B18" s="17" t="n">
        <v>46290</v>
      </c>
      <c r="C18" s="13" t="s">
        <v>92</v>
      </c>
      <c r="D18" s="13" t="s">
        <v>107</v>
      </c>
      <c r="E18" s="18" t="n">
        <v>100</v>
      </c>
      <c r="F18" s="18" t="n">
        <v>120</v>
      </c>
      <c r="G18" s="19" t="n">
        <f aca="false">E18*F18</f>
        <v>12000</v>
      </c>
      <c r="H18" s="14" t="s">
        <v>89</v>
      </c>
      <c r="I18" s="13" t="str">
        <f aca="false">IF(H18="N","Send back - spec missing",IF(G18&gt;=$B$2,"Needs RFQ (3 quotes)","Raise PO directly"))</f>
        <v>Raise PO directly</v>
      </c>
    </row>
    <row r="19" customFormat="false" ht="15" hidden="false" customHeight="false" outlineLevel="0" collapsed="false">
      <c r="A19" s="13" t="n">
        <v>1014</v>
      </c>
      <c r="B19" s="17" t="n">
        <v>46292</v>
      </c>
      <c r="C19" s="13" t="s">
        <v>90</v>
      </c>
      <c r="D19" s="13" t="s">
        <v>108</v>
      </c>
      <c r="E19" s="18" t="n">
        <v>5</v>
      </c>
      <c r="F19" s="18" t="n">
        <v>11500</v>
      </c>
      <c r="G19" s="19" t="n">
        <f aca="false">E19*F19</f>
        <v>57500</v>
      </c>
      <c r="H19" s="14" t="s">
        <v>89</v>
      </c>
      <c r="I19" s="13" t="str">
        <f aca="false">IF(H19="N","Send back - spec missing",IF(G19&gt;=$B$2,"Needs RFQ (3 quotes)","Raise PO directly"))</f>
        <v>Raise PO directly</v>
      </c>
    </row>
    <row r="20" customFormat="false" ht="15" hidden="false" customHeight="false" outlineLevel="0" collapsed="false">
      <c r="A20" s="13" t="n">
        <v>1015</v>
      </c>
      <c r="B20" s="17" t="n">
        <v>46294</v>
      </c>
      <c r="C20" s="13" t="s">
        <v>87</v>
      </c>
      <c r="D20" s="13" t="s">
        <v>109</v>
      </c>
      <c r="E20" s="18" t="n">
        <v>12</v>
      </c>
      <c r="F20" s="18" t="n">
        <v>62000</v>
      </c>
      <c r="G20" s="19" t="n">
        <f aca="false">E20*F20</f>
        <v>744000</v>
      </c>
      <c r="H20" s="14" t="s">
        <v>89</v>
      </c>
      <c r="I20" s="13" t="str">
        <f aca="false">IF(H20="N","Send back - spec missing",IF(G20&gt;=$B$2,"Needs RFQ (3 quotes)","Raise PO directly"))</f>
        <v>Needs RFQ (3 quotes)</v>
      </c>
    </row>
  </sheetData>
  <mergeCells count="1">
    <mergeCell ref="D2:H3"/>
  </mergeCells>
  <conditionalFormatting sqref="I6:I20">
    <cfRule type="expression" priority="2" aboveAverage="0" equalAverage="0" bottom="0" percent="0" rank="0" text="" dxfId="2">
      <formula>$I6="Send back - spec missing"</formula>
    </cfRule>
    <cfRule type="expression" priority="3" aboveAverage="0" equalAverage="0" bottom="0" percent="0" rank="0" text="" dxfId="1">
      <formula>$I6="Needs RFQ (3 quotes)"</formula>
    </cfRule>
    <cfRule type="expression" priority="4" aboveAverage="0" equalAverage="0" bottom="0" percent="0" rank="0" text="" dxfId="0">
      <formula>$I6="Raise PO directly"</formula>
    </cfRule>
  </conditionalFormatting>
  <dataValidations count="1">
    <dataValidation allowBlank="true" errorStyle="stop" operator="between" showDropDown="false" showErrorMessage="false" showInputMessage="false" sqref="H6:H20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6" min="4" style="0" width="12"/>
    <col collapsed="false" customWidth="true" hidden="false" outlineLevel="0" max="9" min="7" style="0" width="13"/>
    <col collapsed="false" customWidth="true" hidden="false" outlineLevel="0" max="13" min="10" style="0" width="10"/>
    <col collapsed="false" customWidth="true" hidden="false" outlineLevel="0" max="14" min="14" style="0" width="7"/>
  </cols>
  <sheetData>
    <row r="1" customFormat="false" ht="17.35" hidden="false" customHeight="false" outlineLevel="0" collapsed="false">
      <c r="A1" s="7" t="s">
        <v>110</v>
      </c>
    </row>
    <row r="3" customFormat="false" ht="15" hidden="false" customHeight="true" outlineLevel="0" collapsed="false">
      <c r="A3" s="9" t="s">
        <v>81</v>
      </c>
      <c r="B3" s="20" t="s">
        <v>111</v>
      </c>
      <c r="D3" s="9" t="s">
        <v>112</v>
      </c>
      <c r="G3" s="8" t="s">
        <v>113</v>
      </c>
      <c r="H3" s="8"/>
      <c r="I3" s="8"/>
      <c r="J3" s="8"/>
      <c r="K3" s="8"/>
      <c r="L3" s="8"/>
    </row>
    <row r="4" customFormat="false" ht="15" hidden="false" customHeight="false" outlineLevel="0" collapsed="false">
      <c r="A4" s="9" t="s">
        <v>114</v>
      </c>
      <c r="B4" s="21" t="n">
        <v>100</v>
      </c>
      <c r="D4" s="10" t="s">
        <v>37</v>
      </c>
      <c r="E4" s="22" t="n">
        <v>0.5</v>
      </c>
      <c r="G4" s="8"/>
      <c r="H4" s="8"/>
      <c r="I4" s="8"/>
      <c r="J4" s="8"/>
      <c r="K4" s="8"/>
      <c r="L4" s="8"/>
    </row>
    <row r="5" customFormat="false" ht="15" hidden="false" customHeight="false" outlineLevel="0" collapsed="false">
      <c r="A5" s="9" t="s">
        <v>115</v>
      </c>
      <c r="B5" s="21" t="n">
        <v>9000</v>
      </c>
      <c r="D5" s="10" t="s">
        <v>36</v>
      </c>
      <c r="E5" s="22" t="n">
        <v>0.2</v>
      </c>
      <c r="G5" s="8"/>
      <c r="H5" s="8"/>
      <c r="I5" s="8"/>
      <c r="J5" s="8"/>
      <c r="K5" s="8"/>
      <c r="L5" s="8"/>
    </row>
    <row r="6" customFormat="false" ht="15" hidden="false" customHeight="false" outlineLevel="0" collapsed="false">
      <c r="D6" s="10" t="s">
        <v>116</v>
      </c>
      <c r="E6" s="22" t="n">
        <v>0.3</v>
      </c>
      <c r="G6" s="8"/>
      <c r="H6" s="8"/>
      <c r="I6" s="8"/>
      <c r="J6" s="8"/>
      <c r="K6" s="8"/>
      <c r="L6" s="8"/>
    </row>
    <row r="8" customFormat="false" ht="31.5" hidden="false" customHeight="true" outlineLevel="0" collapsed="false">
      <c r="A8" s="3" t="s">
        <v>39</v>
      </c>
      <c r="B8" s="3" t="s">
        <v>117</v>
      </c>
      <c r="C8" s="3" t="s">
        <v>118</v>
      </c>
      <c r="D8" s="3" t="s">
        <v>119</v>
      </c>
      <c r="E8" s="3" t="s">
        <v>120</v>
      </c>
      <c r="F8" s="3" t="s">
        <v>43</v>
      </c>
      <c r="G8" s="3" t="s">
        <v>121</v>
      </c>
      <c r="H8" s="3" t="s">
        <v>122</v>
      </c>
      <c r="I8" s="3" t="s">
        <v>123</v>
      </c>
      <c r="J8" s="3" t="s">
        <v>124</v>
      </c>
      <c r="K8" s="3" t="s">
        <v>125</v>
      </c>
      <c r="L8" s="3" t="s">
        <v>126</v>
      </c>
      <c r="M8" s="3" t="s">
        <v>127</v>
      </c>
      <c r="N8" s="3" t="s">
        <v>128</v>
      </c>
    </row>
    <row r="9" customFormat="false" ht="15" hidden="false" customHeight="false" outlineLevel="0" collapsed="false">
      <c r="A9" s="14" t="n">
        <v>101</v>
      </c>
      <c r="B9" s="23" t="str">
        <f aca="false">INDEX(Suppliers!$B$9:$B$23,MATCH(A9,Suppliers!$A$9:$A$23,0))</f>
        <v>Deskcraft Interiors</v>
      </c>
      <c r="C9" s="18" t="n">
        <v>8200</v>
      </c>
      <c r="D9" s="14" t="n">
        <v>21</v>
      </c>
      <c r="E9" s="14" t="n">
        <v>3</v>
      </c>
      <c r="F9" s="23" t="n">
        <f aca="false">INDEX(Suppliers!$E$9:$E$23,MATCH(A9,Suppliers!$A$9:$A$23,0))</f>
        <v>45</v>
      </c>
      <c r="G9" s="14" t="s">
        <v>89</v>
      </c>
      <c r="H9" s="24" t="n">
        <f aca="false">IF(G9="Y",C9,"")</f>
        <v>8200</v>
      </c>
      <c r="I9" s="13" t="n">
        <f aca="false">IF(G9="Y",D9,"")</f>
        <v>21</v>
      </c>
      <c r="J9" s="15" t="n">
        <f aca="false">IF(G9="Y",MIN($H$9:$H$13)/C9*100,0)</f>
        <v>96.3414634146342</v>
      </c>
      <c r="K9" s="15" t="n">
        <f aca="false">IF(G9="Y",MIN($I$9:$I$13)/D9*100,0)</f>
        <v>66.6666666666667</v>
      </c>
      <c r="L9" s="25" t="n">
        <f aca="false">INDEX(Suppliers!$I$9:$I$23,MATCH(A9,Suppliers!$A$9:$A$23,0))</f>
        <v>71</v>
      </c>
      <c r="M9" s="15" t="n">
        <f aca="false">$E$4*J9+$E$5*K9+$E$6*L9</f>
        <v>82.8040650406504</v>
      </c>
      <c r="N9" s="13" t="n">
        <f aca="false">RANK(M9,$M$9:$M$13)</f>
        <v>3</v>
      </c>
    </row>
    <row r="10" customFormat="false" ht="15" hidden="false" customHeight="false" outlineLevel="0" collapsed="false">
      <c r="A10" s="14" t="n">
        <v>102</v>
      </c>
      <c r="B10" s="23" t="str">
        <f aca="false">INDEX(Suppliers!$B$9:$B$23,MATCH(A10,Suppliers!$A$9:$A$23,0))</f>
        <v>Ergoform Furniture Co.</v>
      </c>
      <c r="C10" s="18" t="n">
        <v>7900</v>
      </c>
      <c r="D10" s="14" t="n">
        <v>28</v>
      </c>
      <c r="E10" s="14" t="n">
        <v>2</v>
      </c>
      <c r="F10" s="23" t="n">
        <f aca="false">INDEX(Suppliers!$E$9:$E$23,MATCH(A10,Suppliers!$A$9:$A$23,0))</f>
        <v>30</v>
      </c>
      <c r="G10" s="14" t="s">
        <v>89</v>
      </c>
      <c r="H10" s="24" t="n">
        <f aca="false">IF(G10="Y",C10,"")</f>
        <v>7900</v>
      </c>
      <c r="I10" s="13" t="n">
        <f aca="false">IF(G10="Y",D10,"")</f>
        <v>28</v>
      </c>
      <c r="J10" s="15" t="n">
        <f aca="false">IF(G10="Y",MIN($H$9:$H$13)/C10*100,0)</f>
        <v>100</v>
      </c>
      <c r="K10" s="15" t="n">
        <f aca="false">IF(G10="Y",MIN($I$9:$I$13)/D10*100,0)</f>
        <v>50</v>
      </c>
      <c r="L10" s="25" t="n">
        <f aca="false">INDEX(Suppliers!$I$9:$I$23,MATCH(A10,Suppliers!$A$9:$A$23,0))</f>
        <v>81</v>
      </c>
      <c r="M10" s="15" t="n">
        <f aca="false">$E$4*J10+$E$5*K10+$E$6*L10</f>
        <v>84.3</v>
      </c>
      <c r="N10" s="13" t="n">
        <f aca="false">RANK(M10,$M$9:$M$13)</f>
        <v>2</v>
      </c>
    </row>
    <row r="11" customFormat="false" ht="15" hidden="false" customHeight="false" outlineLevel="0" collapsed="false">
      <c r="A11" s="14" t="n">
        <v>103</v>
      </c>
      <c r="B11" s="23" t="str">
        <f aca="false">INDEX(Suppliers!$B$9:$B$23,MATCH(A11,Suppliers!$A$9:$A$23,0))</f>
        <v>Sitwell Seating</v>
      </c>
      <c r="C11" s="18" t="n">
        <v>8800</v>
      </c>
      <c r="D11" s="14" t="n">
        <v>14</v>
      </c>
      <c r="E11" s="14" t="n">
        <v>3</v>
      </c>
      <c r="F11" s="23" t="n">
        <f aca="false">INDEX(Suppliers!$E$9:$E$23,MATCH(A11,Suppliers!$A$9:$A$23,0))</f>
        <v>60</v>
      </c>
      <c r="G11" s="14" t="s">
        <v>89</v>
      </c>
      <c r="H11" s="24" t="n">
        <f aca="false">IF(G11="Y",C11,"")</f>
        <v>8800</v>
      </c>
      <c r="I11" s="13" t="n">
        <f aca="false">IF(G11="Y",D11,"")</f>
        <v>14</v>
      </c>
      <c r="J11" s="15" t="n">
        <f aca="false">IF(G11="Y",MIN($H$9:$H$13)/C11*100,0)</f>
        <v>89.7727272727273</v>
      </c>
      <c r="K11" s="15" t="n">
        <f aca="false">IF(G11="Y",MIN($I$9:$I$13)/D11*100,0)</f>
        <v>100</v>
      </c>
      <c r="L11" s="25" t="n">
        <f aca="false">INDEX(Suppliers!$I$9:$I$23,MATCH(A11,Suppliers!$A$9:$A$23,0))</f>
        <v>73</v>
      </c>
      <c r="M11" s="15" t="n">
        <f aca="false">$E$4*J11+$E$5*K11+$E$6*L11</f>
        <v>86.7863636363636</v>
      </c>
      <c r="N11" s="13" t="n">
        <f aca="false">RANK(M11,$M$9:$M$13)</f>
        <v>1</v>
      </c>
    </row>
    <row r="12" customFormat="false" ht="15" hidden="false" customHeight="false" outlineLevel="0" collapsed="false">
      <c r="A12" s="14" t="n">
        <v>104</v>
      </c>
      <c r="B12" s="23" t="str">
        <f aca="false">INDEX(Suppliers!$B$9:$B$23,MATCH(A12,Suppliers!$A$9:$A$23,0))</f>
        <v>Woodline Workspaces</v>
      </c>
      <c r="C12" s="18" t="n">
        <v>8400</v>
      </c>
      <c r="D12" s="14" t="n">
        <v>18</v>
      </c>
      <c r="E12" s="14" t="n">
        <v>2</v>
      </c>
      <c r="F12" s="23" t="n">
        <f aca="false">INDEX(Suppliers!$E$9:$E$23,MATCH(A12,Suppliers!$A$9:$A$23,0))</f>
        <v>30</v>
      </c>
      <c r="G12" s="14" t="s">
        <v>89</v>
      </c>
      <c r="H12" s="24" t="n">
        <f aca="false">IF(G12="Y",C12,"")</f>
        <v>8400</v>
      </c>
      <c r="I12" s="13" t="n">
        <f aca="false">IF(G12="Y",D12,"")</f>
        <v>18</v>
      </c>
      <c r="J12" s="15" t="n">
        <f aca="false">IF(G12="Y",MIN($H$9:$H$13)/C12*100,0)</f>
        <v>94.0476190476191</v>
      </c>
      <c r="K12" s="15" t="n">
        <f aca="false">IF(G12="Y",MIN($I$9:$I$13)/D12*100,0)</f>
        <v>77.7777777777778</v>
      </c>
      <c r="L12" s="25" t="n">
        <f aca="false">INDEX(Suppliers!$I$9:$I$23,MATCH(A12,Suppliers!$A$9:$A$23,0))</f>
        <v>66</v>
      </c>
      <c r="M12" s="15" t="n">
        <f aca="false">$E$4*J12+$E$5*K12+$E$6*L12</f>
        <v>82.3793650793651</v>
      </c>
      <c r="N12" s="13" t="n">
        <f aca="false">RANK(M12,$M$9:$M$13)</f>
        <v>4</v>
      </c>
    </row>
    <row r="13" customFormat="false" ht="15" hidden="false" customHeight="false" outlineLevel="0" collapsed="false">
      <c r="A13" s="14" t="n">
        <v>105</v>
      </c>
      <c r="B13" s="23" t="str">
        <f aca="false">INDEX(Suppliers!$B$9:$B$23,MATCH(A13,Suppliers!$A$9:$A$23,0))</f>
        <v>Comfort Office Systems</v>
      </c>
      <c r="C13" s="18" t="n">
        <v>7650</v>
      </c>
      <c r="D13" s="14" t="n">
        <v>35</v>
      </c>
      <c r="E13" s="14" t="n">
        <v>1</v>
      </c>
      <c r="F13" s="23" t="n">
        <f aca="false">INDEX(Suppliers!$E$9:$E$23,MATCH(A13,Suppliers!$A$9:$A$23,0))</f>
        <v>30</v>
      </c>
      <c r="G13" s="14" t="s">
        <v>100</v>
      </c>
      <c r="H13" s="13" t="str">
        <f aca="false">IF(G13="Y",C13,"")</f>
        <v/>
      </c>
      <c r="I13" s="13" t="str">
        <f aca="false">IF(G13="Y",D13,"")</f>
        <v/>
      </c>
      <c r="J13" s="15" t="n">
        <f aca="false">IF(G13="Y",MIN($H$9:$H$13)/C13*100,0)</f>
        <v>0</v>
      </c>
      <c r="K13" s="15" t="n">
        <f aca="false">IF(G13="Y",MIN($I$9:$I$13)/D13*100,0)</f>
        <v>0</v>
      </c>
      <c r="L13" s="25" t="n">
        <f aca="false">INDEX(Suppliers!$I$9:$I$23,MATCH(A13,Suppliers!$A$9:$A$23,0))</f>
        <v>62</v>
      </c>
      <c r="M13" s="15" t="n">
        <f aca="false">$E$4*J13+$E$5*K13+$E$6*L13</f>
        <v>18.6</v>
      </c>
      <c r="N13" s="13" t="n">
        <f aca="false">RANK(M13,$M$9:$M$13)</f>
        <v>5</v>
      </c>
    </row>
    <row r="15" customFormat="false" ht="15" hidden="false" customHeight="false" outlineLevel="0" collapsed="false">
      <c r="A15" s="5" t="s">
        <v>129</v>
      </c>
    </row>
    <row r="16" customFormat="false" ht="15" hidden="false" customHeight="false" outlineLevel="0" collapsed="false">
      <c r="A16" s="9" t="s">
        <v>130</v>
      </c>
      <c r="B16" s="13" t="str">
        <f aca="false">INDEX(B9:B13,MATCH(1,N9:N13,0))</f>
        <v>Sitwell Seating</v>
      </c>
      <c r="D16" s="2" t="s">
        <v>131</v>
      </c>
    </row>
    <row r="17" customFormat="false" ht="15" hidden="false" customHeight="false" outlineLevel="0" collapsed="false">
      <c r="A17" s="9" t="s">
        <v>132</v>
      </c>
      <c r="B17" s="24" t="n">
        <f aca="false">INDEX(C9:C13,MATCH(1,N9:N13,0))</f>
        <v>8800</v>
      </c>
    </row>
    <row r="18" customFormat="false" ht="15" hidden="false" customHeight="false" outlineLevel="0" collapsed="false">
      <c r="A18" s="9" t="s">
        <v>133</v>
      </c>
      <c r="B18" s="24" t="n">
        <f aca="false">MIN(H9:H13)</f>
        <v>7900</v>
      </c>
    </row>
    <row r="19" customFormat="false" ht="15" hidden="false" customHeight="false" outlineLevel="0" collapsed="false">
      <c r="A19" s="9" t="s">
        <v>134</v>
      </c>
      <c r="B19" s="24" t="n">
        <f aca="false">MIN(C9:C13)</f>
        <v>7650</v>
      </c>
    </row>
    <row r="20" customFormat="false" ht="15" hidden="false" customHeight="false" outlineLevel="0" collapsed="false">
      <c r="A20" s="9" t="s">
        <v>135</v>
      </c>
      <c r="B20" s="19" t="n">
        <f aca="false">B4*B5</f>
        <v>900000</v>
      </c>
    </row>
    <row r="21" customFormat="false" ht="15" hidden="false" customHeight="false" outlineLevel="0" collapsed="false">
      <c r="A21" s="9" t="s">
        <v>136</v>
      </c>
      <c r="B21" s="19" t="n">
        <f aca="false">B4*B17</f>
        <v>880000</v>
      </c>
    </row>
    <row r="22" customFormat="false" ht="15" hidden="false" customHeight="false" outlineLevel="0" collapsed="false">
      <c r="A22" s="9" t="s">
        <v>137</v>
      </c>
      <c r="B22" s="19" t="n">
        <f aca="false">B20-B21</f>
        <v>20000</v>
      </c>
    </row>
    <row r="23" customFormat="false" ht="15" hidden="false" customHeight="false" outlineLevel="0" collapsed="false">
      <c r="A23" s="9" t="s">
        <v>138</v>
      </c>
      <c r="B23" s="26" t="n">
        <f aca="false">B22/B20</f>
        <v>0.0222222222222222</v>
      </c>
    </row>
  </sheetData>
  <mergeCells count="1">
    <mergeCell ref="G3:L6"/>
  </mergeCells>
  <conditionalFormatting sqref="N9:N13">
    <cfRule type="expression" priority="2" aboveAverage="0" equalAverage="0" bottom="0" percent="0" rank="0" text="" dxfId="0">
      <formula>$N9="1"</formula>
    </cfRule>
    <cfRule type="expression" priority="3" aboveAverage="0" equalAverage="0" bottom="0" percent="0" rank="0" text="" dxfId="0">
      <formula>$N9=1</formula>
    </cfRule>
  </conditionalFormatting>
  <conditionalFormatting sqref="G9:G13">
    <cfRule type="expression" priority="4" aboveAverage="0" equalAverage="0" bottom="0" percent="0" rank="0" text="" dxfId="2">
      <formula>$G9="N"</formula>
    </cfRule>
  </conditionalFormatting>
  <dataValidations count="1">
    <dataValidation allowBlank="true" errorStyle="stop" operator="between" showDropDown="false" showErrorMessage="false" showInputMessage="false" sqref="G9:G13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26"/>
    <col collapsed="false" customWidth="true" hidden="false" outlineLevel="0" max="4" min="4" style="0" width="22"/>
    <col collapsed="false" customWidth="true" hidden="false" outlineLevel="0" max="5" min="5" style="0" width="26"/>
    <col collapsed="false" customWidth="true" hidden="false" outlineLevel="0" max="6" min="6" style="0" width="7"/>
    <col collapsed="false" customWidth="true" hidden="false" outlineLevel="0" max="7" min="7" style="0" width="14"/>
    <col collapsed="false" customWidth="true" hidden="false" outlineLevel="0" max="8" min="8" style="0" width="15"/>
    <col collapsed="false" customWidth="true" hidden="false" outlineLevel="0" max="9" min="9" style="0" width="13"/>
    <col collapsed="false" customWidth="true" hidden="false" outlineLevel="0" max="10" min="10" style="0" width="15"/>
    <col collapsed="false" customWidth="true" hidden="false" outlineLevel="0" max="11" min="11" style="0" width="14"/>
    <col collapsed="false" customWidth="true" hidden="false" outlineLevel="0" max="13" min="12" style="0" width="11"/>
  </cols>
  <sheetData>
    <row r="1" customFormat="false" ht="17.35" hidden="false" customHeight="false" outlineLevel="0" collapsed="false">
      <c r="A1" s="7" t="s">
        <v>139</v>
      </c>
    </row>
    <row r="2" customFormat="false" ht="15" hidden="false" customHeight="true" outlineLevel="0" collapsed="false">
      <c r="A2" s="9" t="s">
        <v>140</v>
      </c>
      <c r="B2" s="27" t="n">
        <v>46298</v>
      </c>
      <c r="D2" s="8" t="s">
        <v>141</v>
      </c>
      <c r="E2" s="8"/>
      <c r="F2" s="8"/>
      <c r="G2" s="8"/>
      <c r="H2" s="8"/>
      <c r="I2" s="8"/>
      <c r="J2" s="8"/>
    </row>
    <row r="3" customFormat="false" ht="15" hidden="false" customHeight="false" outlineLevel="0" collapsed="false">
      <c r="D3" s="8"/>
      <c r="E3" s="8"/>
      <c r="F3" s="8"/>
      <c r="G3" s="8"/>
      <c r="H3" s="8"/>
      <c r="I3" s="8"/>
      <c r="J3" s="8"/>
    </row>
    <row r="5" customFormat="false" ht="31.5" hidden="false" customHeight="true" outlineLevel="0" collapsed="false">
      <c r="A5" s="3" t="s">
        <v>142</v>
      </c>
      <c r="B5" s="3" t="s">
        <v>39</v>
      </c>
      <c r="C5" s="3" t="s">
        <v>117</v>
      </c>
      <c r="D5" s="3" t="s">
        <v>41</v>
      </c>
      <c r="E5" s="3" t="s">
        <v>81</v>
      </c>
      <c r="F5" s="3" t="s">
        <v>82</v>
      </c>
      <c r="G5" s="3" t="s">
        <v>143</v>
      </c>
      <c r="H5" s="3" t="s">
        <v>144</v>
      </c>
      <c r="I5" s="3" t="s">
        <v>145</v>
      </c>
      <c r="J5" s="3" t="s">
        <v>146</v>
      </c>
      <c r="K5" s="3" t="s">
        <v>147</v>
      </c>
      <c r="L5" s="3" t="s">
        <v>148</v>
      </c>
      <c r="M5" s="3" t="s">
        <v>149</v>
      </c>
    </row>
    <row r="6" customFormat="false" ht="15" hidden="false" customHeight="false" outlineLevel="0" collapsed="false">
      <c r="A6" s="13" t="n">
        <v>4500001</v>
      </c>
      <c r="B6" s="14" t="n">
        <v>101</v>
      </c>
      <c r="C6" s="23" t="str">
        <f aca="false">INDEX(Suppliers!$B$9:$B$23,MATCH(B6,Suppliers!$A$9:$A$23,0))</f>
        <v>Deskcraft Interiors</v>
      </c>
      <c r="D6" s="23" t="str">
        <f aca="false">INDEX(Suppliers!$C$9:$C$23,MATCH(B6,Suppliers!$A$9:$A$23,0))</f>
        <v>Office Furniture</v>
      </c>
      <c r="E6" s="14" t="s">
        <v>93</v>
      </c>
      <c r="F6" s="18" t="n">
        <v>10</v>
      </c>
      <c r="G6" s="18" t="n">
        <v>14500</v>
      </c>
      <c r="H6" s="19" t="n">
        <f aca="false">F6*G6</f>
        <v>145000</v>
      </c>
      <c r="I6" s="28" t="n">
        <v>46211</v>
      </c>
      <c r="J6" s="28" t="n">
        <v>46225</v>
      </c>
      <c r="K6" s="28" t="n">
        <v>46224</v>
      </c>
      <c r="L6" s="13" t="n">
        <f aca="false">IF(K6="","",MAX(0,K6-J6))</f>
        <v>0</v>
      </c>
      <c r="M6" s="13" t="str">
        <f aca="false">IF(K6="",IF(J6&lt;$B$2,"Overdue","Open"),IF(K6&lt;=J6,"On time","Late"))</f>
        <v>On time</v>
      </c>
    </row>
    <row r="7" customFormat="false" ht="15" hidden="false" customHeight="false" outlineLevel="0" collapsed="false">
      <c r="A7" s="13" t="n">
        <v>4500002</v>
      </c>
      <c r="B7" s="14" t="n">
        <v>102</v>
      </c>
      <c r="C7" s="23" t="str">
        <f aca="false">INDEX(Suppliers!$B$9:$B$23,MATCH(B7,Suppliers!$A$9:$A$23,0))</f>
        <v>Ergoform Furniture Co.</v>
      </c>
      <c r="D7" s="23" t="str">
        <f aca="false">INDEX(Suppliers!$C$9:$C$23,MATCH(B7,Suppliers!$A$9:$A$23,0))</f>
        <v>Office Furniture</v>
      </c>
      <c r="E7" s="14" t="s">
        <v>150</v>
      </c>
      <c r="F7" s="18" t="n">
        <v>20</v>
      </c>
      <c r="G7" s="18" t="n">
        <v>8300</v>
      </c>
      <c r="H7" s="19" t="n">
        <f aca="false">F7*G7</f>
        <v>166000</v>
      </c>
      <c r="I7" s="28" t="n">
        <v>46213</v>
      </c>
      <c r="J7" s="28" t="n">
        <v>46227</v>
      </c>
      <c r="K7" s="28" t="n">
        <v>46230</v>
      </c>
      <c r="L7" s="13" t="n">
        <f aca="false">IF(K7="","",MAX(0,K7-J7))</f>
        <v>3</v>
      </c>
      <c r="M7" s="13" t="str">
        <f aca="false">IF(K7="",IF(J7&lt;$B$2,"Overdue","Open"),IF(K7&lt;=J7,"On time","Late"))</f>
        <v>Late</v>
      </c>
    </row>
    <row r="8" customFormat="false" ht="15" hidden="false" customHeight="false" outlineLevel="0" collapsed="false">
      <c r="A8" s="13" t="n">
        <v>4500003</v>
      </c>
      <c r="B8" s="14" t="n">
        <v>201</v>
      </c>
      <c r="C8" s="23" t="str">
        <f aca="false">INDEX(Suppliers!$B$9:$B$23,MATCH(B8,Suppliers!$A$9:$A$23,0))</f>
        <v>Nexora Systems</v>
      </c>
      <c r="D8" s="23" t="str">
        <f aca="false">INDEX(Suppliers!$C$9:$C$23,MATCH(B8,Suppliers!$A$9:$A$23,0))</f>
        <v>IT Hardware</v>
      </c>
      <c r="E8" s="14" t="s">
        <v>91</v>
      </c>
      <c r="F8" s="18" t="n">
        <v>15</v>
      </c>
      <c r="G8" s="18" t="n">
        <v>7800</v>
      </c>
      <c r="H8" s="19" t="n">
        <f aca="false">F8*G8</f>
        <v>117000</v>
      </c>
      <c r="I8" s="28" t="n">
        <v>46218</v>
      </c>
      <c r="J8" s="28" t="n">
        <v>46228</v>
      </c>
      <c r="K8" s="28" t="n">
        <v>46228</v>
      </c>
      <c r="L8" s="13" t="n">
        <f aca="false">IF(K8="","",MAX(0,K8-J8))</f>
        <v>0</v>
      </c>
      <c r="M8" s="13" t="str">
        <f aca="false">IF(K8="",IF(J8&lt;$B$2,"Overdue","Open"),IF(K8&lt;=J8,"On time","Late"))</f>
        <v>On time</v>
      </c>
    </row>
    <row r="9" customFormat="false" ht="15" hidden="false" customHeight="false" outlineLevel="0" collapsed="false">
      <c r="A9" s="13" t="n">
        <v>4500004</v>
      </c>
      <c r="B9" s="14" t="n">
        <v>202</v>
      </c>
      <c r="C9" s="23" t="str">
        <f aca="false">INDEX(Suppliers!$B$9:$B$23,MATCH(B9,Suppliers!$A$9:$A$23,0))</f>
        <v>Bytewave Technologies</v>
      </c>
      <c r="D9" s="23" t="str">
        <f aca="false">INDEX(Suppliers!$C$9:$C$23,MATCH(B9,Suppliers!$A$9:$A$23,0))</f>
        <v>IT Hardware</v>
      </c>
      <c r="E9" s="14" t="s">
        <v>96</v>
      </c>
      <c r="F9" s="18" t="n">
        <v>12</v>
      </c>
      <c r="G9" s="18" t="n">
        <v>12500</v>
      </c>
      <c r="H9" s="19" t="n">
        <f aca="false">F9*G9</f>
        <v>150000</v>
      </c>
      <c r="I9" s="28" t="n">
        <v>46225</v>
      </c>
      <c r="J9" s="28" t="n">
        <v>46235</v>
      </c>
      <c r="K9" s="28" t="n">
        <v>46235</v>
      </c>
      <c r="L9" s="13" t="n">
        <f aca="false">IF(K9="","",MAX(0,K9-J9))</f>
        <v>0</v>
      </c>
      <c r="M9" s="13" t="str">
        <f aca="false">IF(K9="",IF(J9&lt;$B$2,"Overdue","Open"),IF(K9&lt;=J9,"On time","Late"))</f>
        <v>On time</v>
      </c>
    </row>
    <row r="10" customFormat="false" ht="15" hidden="false" customHeight="false" outlineLevel="0" collapsed="false">
      <c r="A10" s="13" t="n">
        <v>4500005</v>
      </c>
      <c r="B10" s="14" t="n">
        <v>301</v>
      </c>
      <c r="C10" s="23" t="str">
        <f aca="false">INDEX(Suppliers!$B$9:$B$23,MATCH(B10,Suppliers!$A$9:$A$23,0))</f>
        <v>Paperlane Stationers</v>
      </c>
      <c r="D10" s="23" t="str">
        <f aca="false">INDEX(Suppliers!$C$9:$C$23,MATCH(B10,Suppliers!$A$9:$A$23,0))</f>
        <v>Stationery &amp; Supplies</v>
      </c>
      <c r="E10" s="14" t="s">
        <v>97</v>
      </c>
      <c r="F10" s="18" t="n">
        <v>40</v>
      </c>
      <c r="G10" s="18" t="n">
        <v>1350</v>
      </c>
      <c r="H10" s="19" t="n">
        <f aca="false">F10*G10</f>
        <v>54000</v>
      </c>
      <c r="I10" s="28" t="n">
        <v>46237</v>
      </c>
      <c r="J10" s="28" t="n">
        <v>46242</v>
      </c>
      <c r="K10" s="28" t="n">
        <v>46242</v>
      </c>
      <c r="L10" s="13" t="n">
        <f aca="false">IF(K10="","",MAX(0,K10-J10))</f>
        <v>0</v>
      </c>
      <c r="M10" s="13" t="str">
        <f aca="false">IF(K10="",IF(J10&lt;$B$2,"Overdue","Open"),IF(K10&lt;=J10,"On time","Late"))</f>
        <v>On time</v>
      </c>
    </row>
    <row r="11" customFormat="false" ht="15" hidden="false" customHeight="false" outlineLevel="0" collapsed="false">
      <c r="A11" s="13" t="n">
        <v>4500006</v>
      </c>
      <c r="B11" s="14" t="n">
        <v>302</v>
      </c>
      <c r="C11" s="23" t="str">
        <f aca="false">INDEX(Suppliers!$B$9:$B$23,MATCH(B11,Suppliers!$A$9:$A$23,0))</f>
        <v>Officemart India</v>
      </c>
      <c r="D11" s="23" t="str">
        <f aca="false">INDEX(Suppliers!$C$9:$C$23,MATCH(B11,Suppliers!$A$9:$A$23,0))</f>
        <v>Stationery &amp; Supplies</v>
      </c>
      <c r="E11" s="14" t="s">
        <v>88</v>
      </c>
      <c r="F11" s="18" t="n">
        <v>10</v>
      </c>
      <c r="G11" s="18" t="n">
        <v>4200</v>
      </c>
      <c r="H11" s="19" t="n">
        <f aca="false">F11*G11</f>
        <v>42000</v>
      </c>
      <c r="I11" s="28" t="n">
        <v>46244</v>
      </c>
      <c r="J11" s="28" t="n">
        <v>46251</v>
      </c>
      <c r="K11" s="28" t="n">
        <v>46255</v>
      </c>
      <c r="L11" s="13" t="n">
        <f aca="false">IF(K11="","",MAX(0,K11-J11))</f>
        <v>4</v>
      </c>
      <c r="M11" s="13" t="str">
        <f aca="false">IF(K11="",IF(J11&lt;$B$2,"Overdue","Open"),IF(K11&lt;=J11,"On time","Late"))</f>
        <v>Late</v>
      </c>
    </row>
    <row r="12" customFormat="false" ht="15" hidden="false" customHeight="false" outlineLevel="0" collapsed="false">
      <c r="A12" s="13" t="n">
        <v>4500007</v>
      </c>
      <c r="B12" s="14" t="n">
        <v>203</v>
      </c>
      <c r="C12" s="23" t="str">
        <f aca="false">INDEX(Suppliers!$B$9:$B$23,MATCH(B12,Suppliers!$A$9:$A$23,0))</f>
        <v>Corelink Infotech</v>
      </c>
      <c r="D12" s="23" t="str">
        <f aca="false">INDEX(Suppliers!$C$9:$C$23,MATCH(B12,Suppliers!$A$9:$A$23,0))</f>
        <v>IT Hardware</v>
      </c>
      <c r="E12" s="14" t="s">
        <v>101</v>
      </c>
      <c r="F12" s="18" t="n">
        <v>2</v>
      </c>
      <c r="G12" s="18" t="n">
        <v>38000</v>
      </c>
      <c r="H12" s="19" t="n">
        <f aca="false">F12*G12</f>
        <v>76000</v>
      </c>
      <c r="I12" s="28" t="n">
        <v>46252</v>
      </c>
      <c r="J12" s="28" t="n">
        <v>46264</v>
      </c>
      <c r="K12" s="28" t="n">
        <v>46263</v>
      </c>
      <c r="L12" s="13" t="n">
        <f aca="false">IF(K12="","",MAX(0,K12-J12))</f>
        <v>0</v>
      </c>
      <c r="M12" s="13" t="str">
        <f aca="false">IF(K12="",IF(J12&lt;$B$2,"Overdue","Open"),IF(K12&lt;=J12,"On time","Late"))</f>
        <v>On time</v>
      </c>
    </row>
    <row r="13" customFormat="false" ht="15" hidden="false" customHeight="false" outlineLevel="0" collapsed="false">
      <c r="A13" s="13" t="n">
        <v>4500008</v>
      </c>
      <c r="B13" s="14" t="n">
        <v>303</v>
      </c>
      <c r="C13" s="23" t="str">
        <f aca="false">INDEX(Suppliers!$B$9:$B$23,MATCH(B13,Suppliers!$A$9:$A$23,0))</f>
        <v>Stylus Supplies</v>
      </c>
      <c r="D13" s="23" t="str">
        <f aca="false">INDEX(Suppliers!$C$9:$C$23,MATCH(B13,Suppliers!$A$9:$A$23,0))</f>
        <v>Stationery &amp; Supplies</v>
      </c>
      <c r="E13" s="14" t="s">
        <v>102</v>
      </c>
      <c r="F13" s="18" t="n">
        <v>6</v>
      </c>
      <c r="G13" s="18" t="n">
        <v>3100</v>
      </c>
      <c r="H13" s="19" t="n">
        <f aca="false">F13*G13</f>
        <v>18600</v>
      </c>
      <c r="I13" s="28" t="n">
        <v>46259</v>
      </c>
      <c r="J13" s="28" t="n">
        <v>46266</v>
      </c>
      <c r="K13" s="28" t="n">
        <v>46266</v>
      </c>
      <c r="L13" s="13" t="n">
        <f aca="false">IF(K13="","",MAX(0,K13-J13))</f>
        <v>0</v>
      </c>
      <c r="M13" s="13" t="str">
        <f aca="false">IF(K13="",IF(J13&lt;$B$2,"Overdue","Open"),IF(K13&lt;=J13,"On time","Late"))</f>
        <v>On time</v>
      </c>
    </row>
    <row r="14" customFormat="false" ht="15" hidden="false" customHeight="false" outlineLevel="0" collapsed="false">
      <c r="A14" s="13" t="n">
        <v>4500009</v>
      </c>
      <c r="B14" s="14" t="n">
        <v>103</v>
      </c>
      <c r="C14" s="23" t="str">
        <f aca="false">INDEX(Suppliers!$B$9:$B$23,MATCH(B14,Suppliers!$A$9:$A$23,0))</f>
        <v>Sitwell Seating</v>
      </c>
      <c r="D14" s="23" t="str">
        <f aca="false">INDEX(Suppliers!$C$9:$C$23,MATCH(B14,Suppliers!$A$9:$A$23,0))</f>
        <v>Office Furniture</v>
      </c>
      <c r="E14" s="14" t="s">
        <v>104</v>
      </c>
      <c r="F14" s="18" t="n">
        <v>30</v>
      </c>
      <c r="G14" s="18" t="n">
        <v>5200</v>
      </c>
      <c r="H14" s="19" t="n">
        <f aca="false">F14*G14</f>
        <v>156000</v>
      </c>
      <c r="I14" s="28" t="n">
        <v>46267</v>
      </c>
      <c r="J14" s="28" t="n">
        <v>46281</v>
      </c>
      <c r="K14" s="28" t="n">
        <v>46283</v>
      </c>
      <c r="L14" s="13" t="n">
        <f aca="false">IF(K14="","",MAX(0,K14-J14))</f>
        <v>2</v>
      </c>
      <c r="M14" s="13" t="str">
        <f aca="false">IF(K14="",IF(J14&lt;$B$2,"Overdue","Open"),IF(K14&lt;=J14,"On time","Late"))</f>
        <v>Late</v>
      </c>
    </row>
    <row r="15" customFormat="false" ht="15" hidden="false" customHeight="false" outlineLevel="0" collapsed="false">
      <c r="A15" s="13" t="n">
        <v>4500010</v>
      </c>
      <c r="B15" s="14" t="n">
        <v>204</v>
      </c>
      <c r="C15" s="23" t="str">
        <f aca="false">INDEX(Suppliers!$B$9:$B$23,MATCH(B15,Suppliers!$A$9:$A$23,0))</f>
        <v>Pixelgrid Electronics</v>
      </c>
      <c r="D15" s="23" t="str">
        <f aca="false">INDEX(Suppliers!$C$9:$C$23,MATCH(B15,Suppliers!$A$9:$A$23,0))</f>
        <v>IT Hardware</v>
      </c>
      <c r="E15" s="14" t="s">
        <v>106</v>
      </c>
      <c r="F15" s="18" t="n">
        <v>40</v>
      </c>
      <c r="G15" s="18" t="n">
        <v>1800</v>
      </c>
      <c r="H15" s="19" t="n">
        <f aca="false">F15*G15</f>
        <v>72000</v>
      </c>
      <c r="I15" s="28" t="n">
        <v>46275</v>
      </c>
      <c r="J15" s="28" t="n">
        <v>46285</v>
      </c>
      <c r="K15" s="28" t="n">
        <v>46284</v>
      </c>
      <c r="L15" s="13" t="n">
        <f aca="false">IF(K15="","",MAX(0,K15-J15))</f>
        <v>0</v>
      </c>
      <c r="M15" s="13" t="str">
        <f aca="false">IF(K15="",IF(J15&lt;$B$2,"Overdue","Open"),IF(K15&lt;=J15,"On time","Late"))</f>
        <v>On time</v>
      </c>
    </row>
    <row r="16" customFormat="false" ht="15" hidden="false" customHeight="false" outlineLevel="0" collapsed="false">
      <c r="A16" s="13" t="n">
        <v>4500011</v>
      </c>
      <c r="B16" s="14" t="n">
        <v>304</v>
      </c>
      <c r="C16" s="23" t="str">
        <f aca="false">INDEX(Suppliers!$B$9:$B$23,MATCH(B16,Suppliers!$A$9:$A$23,0))</f>
        <v>Inkwell Traders</v>
      </c>
      <c r="D16" s="23" t="str">
        <f aca="false">INDEX(Suppliers!$C$9:$C$23,MATCH(B16,Suppliers!$A$9:$A$23,0))</f>
        <v>Stationery &amp; Supplies</v>
      </c>
      <c r="E16" s="14" t="s">
        <v>107</v>
      </c>
      <c r="F16" s="18" t="n">
        <v>100</v>
      </c>
      <c r="G16" s="18" t="n">
        <v>120</v>
      </c>
      <c r="H16" s="19" t="n">
        <f aca="false">F16*G16</f>
        <v>12000</v>
      </c>
      <c r="I16" s="28" t="n">
        <v>46280</v>
      </c>
      <c r="J16" s="28" t="n">
        <v>46287</v>
      </c>
      <c r="K16" s="28"/>
      <c r="L16" s="13" t="str">
        <f aca="false">IF(K16="","",MAX(0,K16-J16))</f>
        <v/>
      </c>
      <c r="M16" s="13" t="str">
        <f aca="false">IF(K16="",IF(J16&lt;$B$2,"Overdue","Open"),IF(K16&lt;=J16,"On time","Late"))</f>
        <v>Overdue</v>
      </c>
    </row>
    <row r="17" customFormat="false" ht="15" hidden="false" customHeight="false" outlineLevel="0" collapsed="false">
      <c r="A17" s="13" t="n">
        <v>4500012</v>
      </c>
      <c r="B17" s="14" t="n">
        <v>201</v>
      </c>
      <c r="C17" s="23" t="str">
        <f aca="false">INDEX(Suppliers!$B$9:$B$23,MATCH(B17,Suppliers!$A$9:$A$23,0))</f>
        <v>Nexora Systems</v>
      </c>
      <c r="D17" s="23" t="str">
        <f aca="false">INDEX(Suppliers!$C$9:$C$23,MATCH(B17,Suppliers!$A$9:$A$23,0))</f>
        <v>IT Hardware</v>
      </c>
      <c r="E17" s="14" t="s">
        <v>108</v>
      </c>
      <c r="F17" s="18" t="n">
        <v>5</v>
      </c>
      <c r="G17" s="18" t="n">
        <v>11500</v>
      </c>
      <c r="H17" s="19" t="n">
        <f aca="false">F17*G17</f>
        <v>57500</v>
      </c>
      <c r="I17" s="28" t="n">
        <v>46293</v>
      </c>
      <c r="J17" s="28" t="n">
        <v>46307</v>
      </c>
      <c r="K17" s="28"/>
      <c r="L17" s="13" t="str">
        <f aca="false">IF(K17="","",MAX(0,K17-J17))</f>
        <v/>
      </c>
      <c r="M17" s="13" t="str">
        <f aca="false">IF(K17="",IF(J17&lt;$B$2,"Overdue","Open"),IF(K17&lt;=J17,"On time","Late"))</f>
        <v>Open</v>
      </c>
    </row>
  </sheetData>
  <mergeCells count="1">
    <mergeCell ref="D2:J3"/>
  </mergeCells>
  <conditionalFormatting sqref="M6:M17">
    <cfRule type="expression" priority="2" aboveAverage="0" equalAverage="0" bottom="0" percent="0" rank="0" text="" dxfId="0">
      <formula>$M6="On time"</formula>
    </cfRule>
    <cfRule type="expression" priority="3" aboveAverage="0" equalAverage="0" bottom="0" percent="0" rank="0" text="" dxfId="1">
      <formula>$M6="Late"</formula>
    </cfRule>
    <cfRule type="expression" priority="4" aboveAverage="0" equalAverage="0" bottom="0" percent="0" rank="0" text="" dxfId="2">
      <formula>$M6="Overdue"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11"/>
  </cols>
  <sheetData>
    <row r="1" customFormat="false" ht="17.35" hidden="false" customHeight="false" outlineLevel="0" collapsed="false">
      <c r="A1" s="7" t="s">
        <v>151</v>
      </c>
    </row>
    <row r="3" customFormat="false" ht="31.5" hidden="false" customHeight="true" outlineLevel="0" collapsed="false">
      <c r="A3" s="3" t="s">
        <v>152</v>
      </c>
      <c r="B3" s="3" t="s">
        <v>153</v>
      </c>
    </row>
    <row r="4" customFormat="false" ht="15" hidden="false" customHeight="false" outlineLevel="0" collapsed="false">
      <c r="A4" s="29" t="s">
        <v>154</v>
      </c>
      <c r="B4" s="30" t="n">
        <f aca="false">COUNTA(Suppliers!A9:A23)</f>
        <v>15</v>
      </c>
    </row>
    <row r="5" customFormat="false" ht="15" hidden="false" customHeight="false" outlineLevel="0" collapsed="false">
      <c r="A5" s="29" t="s">
        <v>155</v>
      </c>
      <c r="B5" s="30" t="n">
        <f aca="false">COUNTIF(Suppliers!J9:J23,"Preferred")</f>
        <v>3</v>
      </c>
    </row>
    <row r="6" customFormat="false" ht="15" hidden="false" customHeight="false" outlineLevel="0" collapsed="false">
      <c r="A6" s="29" t="s">
        <v>156</v>
      </c>
      <c r="B6" s="30" t="n">
        <f aca="false">COUNTA(Requisitions!A6:A20)</f>
        <v>15</v>
      </c>
    </row>
    <row r="7" customFormat="false" ht="15" hidden="false" customHeight="false" outlineLevel="0" collapsed="false">
      <c r="A7" s="29" t="s">
        <v>157</v>
      </c>
      <c r="B7" s="30" t="n">
        <f aca="false">COUNTIF(Requisitions!I6:I20,"Send back*")</f>
        <v>2</v>
      </c>
    </row>
    <row r="8" customFormat="false" ht="15" hidden="false" customHeight="false" outlineLevel="0" collapsed="false">
      <c r="A8" s="29" t="s">
        <v>158</v>
      </c>
      <c r="B8" s="30" t="n">
        <f aca="false">COUNTIF(Requisitions!I6:I20,"Needs RFQ*")</f>
        <v>6</v>
      </c>
    </row>
    <row r="9" customFormat="false" ht="15" hidden="false" customHeight="false" outlineLevel="0" collapsed="false">
      <c r="A9" s="29" t="s">
        <v>159</v>
      </c>
      <c r="B9" s="30" t="n">
        <f aca="false">COUNTA(Purchase_Orders!A6:A17)</f>
        <v>12</v>
      </c>
    </row>
    <row r="10" customFormat="false" ht="15" hidden="false" customHeight="false" outlineLevel="0" collapsed="false">
      <c r="A10" s="29" t="s">
        <v>160</v>
      </c>
      <c r="B10" s="31" t="n">
        <f aca="false">SUM(Purchase_Orders!H6:H17)</f>
        <v>1066100</v>
      </c>
    </row>
    <row r="11" customFormat="false" ht="15" hidden="false" customHeight="false" outlineLevel="0" collapsed="false">
      <c r="A11" s="29" t="s">
        <v>161</v>
      </c>
      <c r="B11" s="32" t="n">
        <f aca="false">COUNTIF(Purchase_Orders!M6:M17,"On time")/(COUNTIF(Purchase_Orders!M6:M17,"On time")+COUNTIF(Purchase_Orders!M6:M17,"Late"))</f>
        <v>0.7</v>
      </c>
    </row>
    <row r="12" customFormat="false" ht="15" hidden="false" customHeight="false" outlineLevel="0" collapsed="false">
      <c r="A12" s="29" t="s">
        <v>162</v>
      </c>
      <c r="B12" s="30" t="n">
        <f aca="false">COUNTIF(Purchase_Orders!M6:M17,"Overdue")</f>
        <v>1</v>
      </c>
    </row>
    <row r="13" customFormat="false" ht="15" hidden="false" customHeight="false" outlineLevel="0" collapsed="false">
      <c r="A13" s="29" t="s">
        <v>163</v>
      </c>
      <c r="B13" s="31" t="n">
        <f aca="false">Quote_Comparison!B22</f>
        <v>20000</v>
      </c>
    </row>
    <row r="14" customFormat="false" ht="15" hidden="false" customHeight="false" outlineLevel="0" collapsed="false">
      <c r="A14" s="29" t="s">
        <v>164</v>
      </c>
      <c r="B14" s="32" t="n">
        <f aca="false">Quote_Comparison!B23</f>
        <v>0.0222222222222222</v>
      </c>
    </row>
    <row r="17" customFormat="false" ht="15" hidden="false" customHeight="false" outlineLevel="0" collapsed="false">
      <c r="A17" s="5" t="s">
        <v>165</v>
      </c>
    </row>
    <row r="18" customFormat="false" ht="31.5" hidden="false" customHeight="true" outlineLevel="0" collapsed="false">
      <c r="A18" s="3" t="s">
        <v>41</v>
      </c>
      <c r="B18" s="3" t="s">
        <v>144</v>
      </c>
      <c r="C18" s="3" t="s">
        <v>166</v>
      </c>
    </row>
    <row r="19" customFormat="false" ht="15" hidden="false" customHeight="false" outlineLevel="0" collapsed="false">
      <c r="A19" s="13" t="s">
        <v>50</v>
      </c>
      <c r="B19" s="31" t="n">
        <f aca="false">SUMIFS(Purchase_Orders!$H$6:$H$17,Purchase_Orders!$D$6:$D$17,A19)</f>
        <v>467000</v>
      </c>
      <c r="C19" s="26" t="n">
        <f aca="false">B19/$B$22</f>
        <v>0.438045211518619</v>
      </c>
    </row>
    <row r="20" customFormat="false" ht="15" hidden="false" customHeight="false" outlineLevel="0" collapsed="false">
      <c r="A20" s="13" t="s">
        <v>60</v>
      </c>
      <c r="B20" s="31" t="n">
        <f aca="false">SUMIFS(Purchase_Orders!$H$6:$H$17,Purchase_Orders!$D$6:$D$17,A20)</f>
        <v>472500</v>
      </c>
      <c r="C20" s="26" t="n">
        <f aca="false">B20/$B$22</f>
        <v>0.443204202232436</v>
      </c>
    </row>
    <row r="21" customFormat="false" ht="15" hidden="false" customHeight="false" outlineLevel="0" collapsed="false">
      <c r="A21" s="13" t="s">
        <v>69</v>
      </c>
      <c r="B21" s="31" t="n">
        <f aca="false">SUMIFS(Purchase_Orders!$H$6:$H$17,Purchase_Orders!$D$6:$D$17,A21)</f>
        <v>126600</v>
      </c>
      <c r="C21" s="26" t="n">
        <f aca="false">B21/$B$22</f>
        <v>0.118750586248945</v>
      </c>
    </row>
    <row r="22" customFormat="false" ht="15" hidden="false" customHeight="false" outlineLevel="0" collapsed="false">
      <c r="A22" s="29" t="s">
        <v>38</v>
      </c>
      <c r="B22" s="33" t="n">
        <f aca="false">SUM(B19:B21)</f>
        <v>1066100</v>
      </c>
      <c r="C22" s="34" t="n">
        <f aca="false">SUM(C19:C21)</f>
        <v>1</v>
      </c>
    </row>
    <row r="24" customFormat="false" ht="15" hidden="false" customHeight="false" outlineLevel="0" collapsed="false">
      <c r="A24" s="5" t="s">
        <v>167</v>
      </c>
    </row>
    <row r="25" customFormat="false" ht="31.5" hidden="false" customHeight="true" outlineLevel="0" collapsed="false">
      <c r="A25" s="3" t="s">
        <v>117</v>
      </c>
      <c r="B25" s="3" t="s">
        <v>168</v>
      </c>
      <c r="C25" s="3" t="s">
        <v>169</v>
      </c>
      <c r="D25" s="3" t="s">
        <v>170</v>
      </c>
      <c r="E25" s="3" t="s">
        <v>171</v>
      </c>
    </row>
    <row r="26" customFormat="false" ht="15" hidden="false" customHeight="false" outlineLevel="0" collapsed="false">
      <c r="A26" s="23" t="str">
        <f aca="false">INDEX(Suppliers!$B$9:$B$23,MATCH(101,Suppliers!$A$9:$A$23,0))</f>
        <v>Deskcraft Interiors</v>
      </c>
      <c r="B26" s="23" t="n">
        <f aca="false">COUNTIF(Purchase_Orders!$C$6:$C$17,A26)</f>
        <v>1</v>
      </c>
      <c r="C26" s="23" t="n">
        <f aca="false">COUNTIFS(Purchase_Orders!$C$6:$C$17,A26,Purchase_Orders!$M$6:$M$17,"On time")</f>
        <v>1</v>
      </c>
      <c r="D26" s="23" t="n">
        <f aca="false">COUNTIFS(Purchase_Orders!$C$6:$C$17,A26,Purchase_Orders!$M$6:$M$17,"Late")</f>
        <v>0</v>
      </c>
      <c r="E26" s="23" t="n">
        <f aca="false">COUNTIFS(Purchase_Orders!$C$6:$C$17,A26,Purchase_Orders!$M$6:$M$17,"Overdue")</f>
        <v>0</v>
      </c>
    </row>
    <row r="27" customFormat="false" ht="15" hidden="false" customHeight="false" outlineLevel="0" collapsed="false">
      <c r="A27" s="23" t="str">
        <f aca="false">INDEX(Suppliers!$B$9:$B$23,MATCH(102,Suppliers!$A$9:$A$23,0))</f>
        <v>Ergoform Furniture Co.</v>
      </c>
      <c r="B27" s="23" t="n">
        <f aca="false">COUNTIF(Purchase_Orders!$C$6:$C$17,A27)</f>
        <v>1</v>
      </c>
      <c r="C27" s="23" t="n">
        <f aca="false">COUNTIFS(Purchase_Orders!$C$6:$C$17,A27,Purchase_Orders!$M$6:$M$17,"On time")</f>
        <v>0</v>
      </c>
      <c r="D27" s="23" t="n">
        <f aca="false">COUNTIFS(Purchase_Orders!$C$6:$C$17,A27,Purchase_Orders!$M$6:$M$17,"Late")</f>
        <v>1</v>
      </c>
      <c r="E27" s="23" t="n">
        <f aca="false">COUNTIFS(Purchase_Orders!$C$6:$C$17,A27,Purchase_Orders!$M$6:$M$17,"Overdue")</f>
        <v>0</v>
      </c>
    </row>
    <row r="28" customFormat="false" ht="15" hidden="false" customHeight="false" outlineLevel="0" collapsed="false">
      <c r="A28" s="23" t="str">
        <f aca="false">INDEX(Suppliers!$B$9:$B$23,MATCH(103,Suppliers!$A$9:$A$23,0))</f>
        <v>Sitwell Seating</v>
      </c>
      <c r="B28" s="23" t="n">
        <f aca="false">COUNTIF(Purchase_Orders!$C$6:$C$17,A28)</f>
        <v>1</v>
      </c>
      <c r="C28" s="23" t="n">
        <f aca="false">COUNTIFS(Purchase_Orders!$C$6:$C$17,A28,Purchase_Orders!$M$6:$M$17,"On time")</f>
        <v>0</v>
      </c>
      <c r="D28" s="23" t="n">
        <f aca="false">COUNTIFS(Purchase_Orders!$C$6:$C$17,A28,Purchase_Orders!$M$6:$M$17,"Late")</f>
        <v>1</v>
      </c>
      <c r="E28" s="23" t="n">
        <f aca="false">COUNTIFS(Purchase_Orders!$C$6:$C$17,A28,Purchase_Orders!$M$6:$M$17,"Overdue")</f>
        <v>0</v>
      </c>
    </row>
    <row r="29" customFormat="false" ht="15" hidden="false" customHeight="false" outlineLevel="0" collapsed="false">
      <c r="A29" s="23" t="str">
        <f aca="false">INDEX(Suppliers!$B$9:$B$23,MATCH(201,Suppliers!$A$9:$A$23,0))</f>
        <v>Nexora Systems</v>
      </c>
      <c r="B29" s="23" t="n">
        <f aca="false">COUNTIF(Purchase_Orders!$C$6:$C$17,A29)</f>
        <v>2</v>
      </c>
      <c r="C29" s="23" t="n">
        <f aca="false">COUNTIFS(Purchase_Orders!$C$6:$C$17,A29,Purchase_Orders!$M$6:$M$17,"On time")</f>
        <v>1</v>
      </c>
      <c r="D29" s="23" t="n">
        <f aca="false">COUNTIFS(Purchase_Orders!$C$6:$C$17,A29,Purchase_Orders!$M$6:$M$17,"Late")</f>
        <v>0</v>
      </c>
      <c r="E29" s="23" t="n">
        <f aca="false">COUNTIFS(Purchase_Orders!$C$6:$C$17,A29,Purchase_Orders!$M$6:$M$17,"Overdue")</f>
        <v>0</v>
      </c>
    </row>
    <row r="30" customFormat="false" ht="15" hidden="false" customHeight="false" outlineLevel="0" collapsed="false">
      <c r="A30" s="23" t="str">
        <f aca="false">INDEX(Suppliers!$B$9:$B$23,MATCH(202,Suppliers!$A$9:$A$23,0))</f>
        <v>Bytewave Technologies</v>
      </c>
      <c r="B30" s="23" t="n">
        <f aca="false">COUNTIF(Purchase_Orders!$C$6:$C$17,A30)</f>
        <v>1</v>
      </c>
      <c r="C30" s="23" t="n">
        <f aca="false">COUNTIFS(Purchase_Orders!$C$6:$C$17,A30,Purchase_Orders!$M$6:$M$17,"On time")</f>
        <v>1</v>
      </c>
      <c r="D30" s="23" t="n">
        <f aca="false">COUNTIFS(Purchase_Orders!$C$6:$C$17,A30,Purchase_Orders!$M$6:$M$17,"Late")</f>
        <v>0</v>
      </c>
      <c r="E30" s="23" t="n">
        <f aca="false">COUNTIFS(Purchase_Orders!$C$6:$C$17,A30,Purchase_Orders!$M$6:$M$17,"Overdue")</f>
        <v>0</v>
      </c>
    </row>
    <row r="31" customFormat="false" ht="15" hidden="false" customHeight="false" outlineLevel="0" collapsed="false">
      <c r="A31" s="23" t="str">
        <f aca="false">INDEX(Suppliers!$B$9:$B$23,MATCH(203,Suppliers!$A$9:$A$23,0))</f>
        <v>Corelink Infotech</v>
      </c>
      <c r="B31" s="23" t="n">
        <f aca="false">COUNTIF(Purchase_Orders!$C$6:$C$17,A31)</f>
        <v>1</v>
      </c>
      <c r="C31" s="23" t="n">
        <f aca="false">COUNTIFS(Purchase_Orders!$C$6:$C$17,A31,Purchase_Orders!$M$6:$M$17,"On time")</f>
        <v>1</v>
      </c>
      <c r="D31" s="23" t="n">
        <f aca="false">COUNTIFS(Purchase_Orders!$C$6:$C$17,A31,Purchase_Orders!$M$6:$M$17,"Late")</f>
        <v>0</v>
      </c>
      <c r="E31" s="23" t="n">
        <f aca="false">COUNTIFS(Purchase_Orders!$C$6:$C$17,A31,Purchase_Orders!$M$6:$M$17,"Overdue")</f>
        <v>0</v>
      </c>
    </row>
    <row r="32" customFormat="false" ht="15" hidden="false" customHeight="false" outlineLevel="0" collapsed="false">
      <c r="A32" s="23" t="str">
        <f aca="false">INDEX(Suppliers!$B$9:$B$23,MATCH(204,Suppliers!$A$9:$A$23,0))</f>
        <v>Pixelgrid Electronics</v>
      </c>
      <c r="B32" s="23" t="n">
        <f aca="false">COUNTIF(Purchase_Orders!$C$6:$C$17,A32)</f>
        <v>1</v>
      </c>
      <c r="C32" s="23" t="n">
        <f aca="false">COUNTIFS(Purchase_Orders!$C$6:$C$17,A32,Purchase_Orders!$M$6:$M$17,"On time")</f>
        <v>1</v>
      </c>
      <c r="D32" s="23" t="n">
        <f aca="false">COUNTIFS(Purchase_Orders!$C$6:$C$17,A32,Purchase_Orders!$M$6:$M$17,"Late")</f>
        <v>0</v>
      </c>
      <c r="E32" s="23" t="n">
        <f aca="false">COUNTIFS(Purchase_Orders!$C$6:$C$17,A32,Purchase_Orders!$M$6:$M$17,"Overdue")</f>
        <v>0</v>
      </c>
    </row>
    <row r="33" customFormat="false" ht="15" hidden="false" customHeight="false" outlineLevel="0" collapsed="false">
      <c r="A33" s="23" t="str">
        <f aca="false">INDEX(Suppliers!$B$9:$B$23,MATCH(301,Suppliers!$A$9:$A$23,0))</f>
        <v>Paperlane Stationers</v>
      </c>
      <c r="B33" s="23" t="n">
        <f aca="false">COUNTIF(Purchase_Orders!$C$6:$C$17,A33)</f>
        <v>1</v>
      </c>
      <c r="C33" s="23" t="n">
        <f aca="false">COUNTIFS(Purchase_Orders!$C$6:$C$17,A33,Purchase_Orders!$M$6:$M$17,"On time")</f>
        <v>1</v>
      </c>
      <c r="D33" s="23" t="n">
        <f aca="false">COUNTIFS(Purchase_Orders!$C$6:$C$17,A33,Purchase_Orders!$M$6:$M$17,"Late")</f>
        <v>0</v>
      </c>
      <c r="E33" s="23" t="n">
        <f aca="false">COUNTIFS(Purchase_Orders!$C$6:$C$17,A33,Purchase_Orders!$M$6:$M$17,"Overdue")</f>
        <v>0</v>
      </c>
    </row>
    <row r="34" customFormat="false" ht="15" hidden="false" customHeight="false" outlineLevel="0" collapsed="false">
      <c r="A34" s="23" t="str">
        <f aca="false">INDEX(Suppliers!$B$9:$B$23,MATCH(302,Suppliers!$A$9:$A$23,0))</f>
        <v>Officemart India</v>
      </c>
      <c r="B34" s="23" t="n">
        <f aca="false">COUNTIF(Purchase_Orders!$C$6:$C$17,A34)</f>
        <v>1</v>
      </c>
      <c r="C34" s="23" t="n">
        <f aca="false">COUNTIFS(Purchase_Orders!$C$6:$C$17,A34,Purchase_Orders!$M$6:$M$17,"On time")</f>
        <v>0</v>
      </c>
      <c r="D34" s="23" t="n">
        <f aca="false">COUNTIFS(Purchase_Orders!$C$6:$C$17,A34,Purchase_Orders!$M$6:$M$17,"Late")</f>
        <v>1</v>
      </c>
      <c r="E34" s="23" t="n">
        <f aca="false">COUNTIFS(Purchase_Orders!$C$6:$C$17,A34,Purchase_Orders!$M$6:$M$17,"Overdue")</f>
        <v>0</v>
      </c>
    </row>
    <row r="35" customFormat="false" ht="15" hidden="false" customHeight="false" outlineLevel="0" collapsed="false">
      <c r="A35" s="23" t="str">
        <f aca="false">INDEX(Suppliers!$B$9:$B$23,MATCH(303,Suppliers!$A$9:$A$23,0))</f>
        <v>Stylus Supplies</v>
      </c>
      <c r="B35" s="23" t="n">
        <f aca="false">COUNTIF(Purchase_Orders!$C$6:$C$17,A35)</f>
        <v>1</v>
      </c>
      <c r="C35" s="23" t="n">
        <f aca="false">COUNTIFS(Purchase_Orders!$C$6:$C$17,A35,Purchase_Orders!$M$6:$M$17,"On time")</f>
        <v>1</v>
      </c>
      <c r="D35" s="23" t="n">
        <f aca="false">COUNTIFS(Purchase_Orders!$C$6:$C$17,A35,Purchase_Orders!$M$6:$M$17,"Late")</f>
        <v>0</v>
      </c>
      <c r="E35" s="23" t="n">
        <f aca="false">COUNTIFS(Purchase_Orders!$C$6:$C$17,A35,Purchase_Orders!$M$6:$M$17,"Overdue")</f>
        <v>0</v>
      </c>
    </row>
    <row r="36" customFormat="false" ht="15" hidden="false" customHeight="false" outlineLevel="0" collapsed="false">
      <c r="A36" s="23" t="str">
        <f aca="false">INDEX(Suppliers!$B$9:$B$23,MATCH(304,Suppliers!$A$9:$A$23,0))</f>
        <v>Inkwell Traders</v>
      </c>
      <c r="B36" s="23" t="n">
        <f aca="false">COUNTIF(Purchase_Orders!$C$6:$C$17,A36)</f>
        <v>1</v>
      </c>
      <c r="C36" s="23" t="n">
        <f aca="false">COUNTIFS(Purchase_Orders!$C$6:$C$17,A36,Purchase_Orders!$M$6:$M$17,"On time")</f>
        <v>0</v>
      </c>
      <c r="D36" s="23" t="n">
        <f aca="false">COUNTIFS(Purchase_Orders!$C$6:$C$17,A36,Purchase_Orders!$M$6:$M$17,"Late")</f>
        <v>0</v>
      </c>
      <c r="E36" s="23" t="n">
        <f aca="false">COUNTIFS(Purchase_Orders!$C$6:$C$17,A36,Purchase_Orders!$M$6:$M$17,"Overdue")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2026-10-03T18:20:34Z</dcterms:created>
  <dc:creator>openpyxl</dc:creator>
  <dc:description/>
  <dc:language>en-US</dc:language>
  <cp:lastModifiedBy/>
  <dcterms:modified xsi:type="dcterms:W3CDTF">2026-10-03T18:20:36Z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